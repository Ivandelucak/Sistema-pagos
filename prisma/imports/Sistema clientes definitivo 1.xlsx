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ivand\OneDrive\Escritorio\"/>
    </mc:Choice>
  </mc:AlternateContent>
  <xr:revisionPtr revIDLastSave="0" documentId="8_{3357A787-EF3C-4177-B0A3-BEA5A576325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 nico" sheetId="4" r:id="rId1"/>
    <sheet name="clientes violeta" sheetId="6" r:id="rId2"/>
    <sheet name="clientes paola" sheetId="5" r:id="rId3"/>
    <sheet name="clientes gustavo" sheetId="7" r:id="rId4"/>
  </sheets>
  <definedNames>
    <definedName name="_xlnm._FilterDatabase" localSheetId="0" hidden="1">' nico'!$A$2:$M$5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3" i="4" l="1"/>
  <c r="L213" i="4" s="1"/>
  <c r="F214" i="4"/>
  <c r="L214" i="4" s="1"/>
  <c r="F215" i="4"/>
  <c r="L215" i="4" s="1"/>
  <c r="F216" i="4"/>
  <c r="L216" i="4" s="1"/>
  <c r="F217" i="4"/>
  <c r="L217" i="4" s="1"/>
  <c r="F218" i="4"/>
  <c r="L218" i="4" s="1"/>
  <c r="F219" i="4"/>
  <c r="L219" i="4" s="1"/>
  <c r="F220" i="4"/>
  <c r="L220" i="4" s="1"/>
  <c r="F221" i="4"/>
  <c r="L221" i="4" s="1"/>
  <c r="F222" i="4"/>
  <c r="L222" i="4" s="1"/>
  <c r="F223" i="4"/>
  <c r="L223" i="4" s="1"/>
  <c r="F224" i="4"/>
  <c r="L224" i="4" s="1"/>
  <c r="F225" i="4"/>
  <c r="L225" i="4" s="1"/>
  <c r="F226" i="4"/>
  <c r="L226" i="4" s="1"/>
  <c r="F227" i="4"/>
  <c r="L227" i="4" s="1"/>
  <c r="F228" i="4"/>
  <c r="L228" i="4" s="1"/>
  <c r="F229" i="4"/>
  <c r="L229" i="4" s="1"/>
  <c r="F230" i="4"/>
  <c r="L230" i="4" s="1"/>
  <c r="F231" i="4"/>
  <c r="L231" i="4" s="1"/>
  <c r="F232" i="4"/>
  <c r="L232" i="4" s="1"/>
  <c r="F233" i="4"/>
  <c r="L233" i="4" s="1"/>
  <c r="F234" i="4"/>
  <c r="L234" i="4" s="1"/>
  <c r="F235" i="4"/>
  <c r="L235" i="4" s="1"/>
  <c r="F236" i="4"/>
  <c r="L236" i="4" s="1"/>
  <c r="F237" i="4"/>
  <c r="L237" i="4" s="1"/>
  <c r="F238" i="4"/>
  <c r="L238" i="4" s="1"/>
  <c r="F239" i="4"/>
  <c r="L239" i="4" s="1"/>
  <c r="F240" i="4"/>
  <c r="L240" i="4" s="1"/>
  <c r="F241" i="4"/>
  <c r="L241" i="4" s="1"/>
  <c r="F242" i="4"/>
  <c r="L242" i="4" s="1"/>
  <c r="F243" i="4"/>
  <c r="L243" i="4" s="1"/>
  <c r="F244" i="4"/>
  <c r="L244" i="4" s="1"/>
  <c r="F245" i="4"/>
  <c r="L245" i="4" s="1"/>
  <c r="F246" i="4"/>
  <c r="L246" i="4" s="1"/>
  <c r="F247" i="4"/>
  <c r="L247" i="4" s="1"/>
  <c r="F248" i="4"/>
  <c r="L248" i="4" s="1"/>
  <c r="F249" i="4"/>
  <c r="L249" i="4" s="1"/>
  <c r="F250" i="4"/>
  <c r="L250" i="4" s="1"/>
  <c r="F251" i="4"/>
  <c r="I251" i="4" s="1"/>
  <c r="J251" i="4" s="1"/>
  <c r="K251" i="4" s="1"/>
  <c r="F252" i="4"/>
  <c r="I252" i="4" s="1"/>
  <c r="J252" i="4" s="1"/>
  <c r="K252" i="4" s="1"/>
  <c r="F253" i="4"/>
  <c r="I253" i="4" s="1"/>
  <c r="J253" i="4" s="1"/>
  <c r="K253" i="4" s="1"/>
  <c r="F254" i="4"/>
  <c r="I254" i="4" s="1"/>
  <c r="J254" i="4" s="1"/>
  <c r="K254" i="4" s="1"/>
  <c r="F255" i="4"/>
  <c r="I255" i="4" s="1"/>
  <c r="J255" i="4" s="1"/>
  <c r="K255" i="4" s="1"/>
  <c r="F256" i="4"/>
  <c r="I256" i="4" s="1"/>
  <c r="J256" i="4" s="1"/>
  <c r="K256" i="4" s="1"/>
  <c r="F257" i="4"/>
  <c r="I257" i="4" s="1"/>
  <c r="J257" i="4" s="1"/>
  <c r="K257" i="4" s="1"/>
  <c r="F258" i="4"/>
  <c r="I258" i="4" s="1"/>
  <c r="J258" i="4" s="1"/>
  <c r="K258" i="4" s="1"/>
  <c r="F259" i="4"/>
  <c r="I259" i="4" s="1"/>
  <c r="J259" i="4" s="1"/>
  <c r="K259" i="4" s="1"/>
  <c r="F260" i="4"/>
  <c r="I260" i="4" s="1"/>
  <c r="J260" i="4" s="1"/>
  <c r="K260" i="4" s="1"/>
  <c r="F261" i="4"/>
  <c r="I261" i="4" s="1"/>
  <c r="J261" i="4" s="1"/>
  <c r="K261" i="4" s="1"/>
  <c r="F262" i="4"/>
  <c r="I262" i="4" s="1"/>
  <c r="J262" i="4" s="1"/>
  <c r="K262" i="4" s="1"/>
  <c r="F263" i="4"/>
  <c r="I263" i="4" s="1"/>
  <c r="J263" i="4" s="1"/>
  <c r="K263" i="4" s="1"/>
  <c r="F264" i="4"/>
  <c r="I264" i="4" s="1"/>
  <c r="J264" i="4" s="1"/>
  <c r="K264" i="4" s="1"/>
  <c r="F265" i="4"/>
  <c r="I265" i="4" s="1"/>
  <c r="J265" i="4" s="1"/>
  <c r="K265" i="4" s="1"/>
  <c r="F266" i="4"/>
  <c r="I266" i="4" s="1"/>
  <c r="J266" i="4" s="1"/>
  <c r="K266" i="4" s="1"/>
  <c r="F267" i="4"/>
  <c r="I267" i="4" s="1"/>
  <c r="J267" i="4" s="1"/>
  <c r="K267" i="4" s="1"/>
  <c r="F268" i="4"/>
  <c r="I268" i="4" s="1"/>
  <c r="J268" i="4" s="1"/>
  <c r="K268" i="4" s="1"/>
  <c r="F269" i="4"/>
  <c r="I269" i="4" s="1"/>
  <c r="J269" i="4" s="1"/>
  <c r="K269" i="4" s="1"/>
  <c r="F270" i="4"/>
  <c r="I270" i="4" s="1"/>
  <c r="J270" i="4" s="1"/>
  <c r="K270" i="4" s="1"/>
  <c r="F271" i="4"/>
  <c r="I271" i="4" s="1"/>
  <c r="J271" i="4" s="1"/>
  <c r="K271" i="4" s="1"/>
  <c r="F272" i="4"/>
  <c r="I272" i="4" s="1"/>
  <c r="J272" i="4" s="1"/>
  <c r="K272" i="4" s="1"/>
  <c r="F273" i="4"/>
  <c r="I273" i="4" s="1"/>
  <c r="J273" i="4" s="1"/>
  <c r="K273" i="4" s="1"/>
  <c r="F274" i="4"/>
  <c r="I274" i="4" s="1"/>
  <c r="J274" i="4" s="1"/>
  <c r="K274" i="4" s="1"/>
  <c r="F275" i="4"/>
  <c r="I275" i="4" s="1"/>
  <c r="J275" i="4" s="1"/>
  <c r="K275" i="4" s="1"/>
  <c r="F276" i="4"/>
  <c r="I276" i="4" s="1"/>
  <c r="J276" i="4" s="1"/>
  <c r="K276" i="4" s="1"/>
  <c r="F277" i="4"/>
  <c r="I277" i="4" s="1"/>
  <c r="J277" i="4" s="1"/>
  <c r="K277" i="4" s="1"/>
  <c r="F278" i="4"/>
  <c r="I278" i="4" s="1"/>
  <c r="J278" i="4" s="1"/>
  <c r="K278" i="4" s="1"/>
  <c r="F279" i="4"/>
  <c r="I279" i="4" s="1"/>
  <c r="J279" i="4" s="1"/>
  <c r="K279" i="4" s="1"/>
  <c r="F280" i="4"/>
  <c r="I280" i="4" s="1"/>
  <c r="J280" i="4" s="1"/>
  <c r="K280" i="4" s="1"/>
  <c r="M251" i="4" l="1"/>
  <c r="L25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I250" i="4"/>
  <c r="J250" i="4" s="1"/>
  <c r="K250" i="4" s="1"/>
  <c r="M250" i="4"/>
  <c r="I249" i="4"/>
  <c r="J249" i="4" s="1"/>
  <c r="K249" i="4" s="1"/>
  <c r="M249" i="4"/>
  <c r="I248" i="4"/>
  <c r="J248" i="4" s="1"/>
  <c r="K248" i="4" s="1"/>
  <c r="M248" i="4"/>
  <c r="I247" i="4"/>
  <c r="J247" i="4" s="1"/>
  <c r="K247" i="4" s="1"/>
  <c r="M247" i="4"/>
  <c r="I246" i="4"/>
  <c r="J246" i="4" s="1"/>
  <c r="K246" i="4" s="1"/>
  <c r="M246" i="4"/>
  <c r="I245" i="4"/>
  <c r="J245" i="4" s="1"/>
  <c r="K245" i="4" s="1"/>
  <c r="M245" i="4"/>
  <c r="I244" i="4"/>
  <c r="J244" i="4" s="1"/>
  <c r="K244" i="4" s="1"/>
  <c r="M244" i="4"/>
  <c r="I243" i="4"/>
  <c r="J243" i="4" s="1"/>
  <c r="K243" i="4" s="1"/>
  <c r="M243" i="4"/>
  <c r="I242" i="4"/>
  <c r="J242" i="4" s="1"/>
  <c r="K242" i="4" s="1"/>
  <c r="M242" i="4"/>
  <c r="I241" i="4"/>
  <c r="J241" i="4" s="1"/>
  <c r="K241" i="4" s="1"/>
  <c r="M241" i="4"/>
  <c r="I240" i="4"/>
  <c r="J240" i="4" s="1"/>
  <c r="K240" i="4" s="1"/>
  <c r="M240" i="4"/>
  <c r="I239" i="4"/>
  <c r="J239" i="4" s="1"/>
  <c r="K239" i="4" s="1"/>
  <c r="M239" i="4"/>
  <c r="I238" i="4"/>
  <c r="J238" i="4" s="1"/>
  <c r="K238" i="4" s="1"/>
  <c r="M238" i="4"/>
  <c r="I237" i="4"/>
  <c r="J237" i="4" s="1"/>
  <c r="K237" i="4" s="1"/>
  <c r="M237" i="4"/>
  <c r="I236" i="4"/>
  <c r="J236" i="4" s="1"/>
  <c r="K236" i="4" s="1"/>
  <c r="M236" i="4"/>
  <c r="I235" i="4"/>
  <c r="J235" i="4" s="1"/>
  <c r="K235" i="4" s="1"/>
  <c r="M235" i="4"/>
  <c r="I234" i="4"/>
  <c r="J234" i="4" s="1"/>
  <c r="K234" i="4" s="1"/>
  <c r="M234" i="4"/>
  <c r="I233" i="4"/>
  <c r="J233" i="4" s="1"/>
  <c r="K233" i="4" s="1"/>
  <c r="M233" i="4"/>
  <c r="I232" i="4"/>
  <c r="J232" i="4" s="1"/>
  <c r="K232" i="4" s="1"/>
  <c r="M232" i="4"/>
  <c r="I231" i="4"/>
  <c r="J231" i="4" s="1"/>
  <c r="K231" i="4" s="1"/>
  <c r="M231" i="4"/>
  <c r="I230" i="4"/>
  <c r="J230" i="4" s="1"/>
  <c r="K230" i="4" s="1"/>
  <c r="M230" i="4"/>
  <c r="I229" i="4"/>
  <c r="J229" i="4" s="1"/>
  <c r="K229" i="4" s="1"/>
  <c r="M229" i="4"/>
  <c r="I228" i="4"/>
  <c r="J228" i="4" s="1"/>
  <c r="K228" i="4" s="1"/>
  <c r="M228" i="4"/>
  <c r="I227" i="4"/>
  <c r="J227" i="4" s="1"/>
  <c r="K227" i="4" s="1"/>
  <c r="M227" i="4"/>
  <c r="I226" i="4"/>
  <c r="J226" i="4" s="1"/>
  <c r="K226" i="4" s="1"/>
  <c r="M226" i="4"/>
  <c r="I225" i="4"/>
  <c r="J225" i="4" s="1"/>
  <c r="K225" i="4" s="1"/>
  <c r="M225" i="4"/>
  <c r="I224" i="4"/>
  <c r="J224" i="4" s="1"/>
  <c r="K224" i="4" s="1"/>
  <c r="M224" i="4"/>
  <c r="I223" i="4"/>
  <c r="J223" i="4" s="1"/>
  <c r="K223" i="4" s="1"/>
  <c r="M223" i="4"/>
  <c r="I222" i="4"/>
  <c r="J222" i="4" s="1"/>
  <c r="K222" i="4" s="1"/>
  <c r="M222" i="4"/>
  <c r="I221" i="4"/>
  <c r="J221" i="4" s="1"/>
  <c r="K221" i="4" s="1"/>
  <c r="M221" i="4"/>
  <c r="I220" i="4"/>
  <c r="J220" i="4" s="1"/>
  <c r="K220" i="4" s="1"/>
  <c r="M220" i="4"/>
  <c r="I219" i="4"/>
  <c r="J219" i="4" s="1"/>
  <c r="K219" i="4" s="1"/>
  <c r="M219" i="4"/>
  <c r="I218" i="4"/>
  <c r="J218" i="4" s="1"/>
  <c r="K218" i="4" s="1"/>
  <c r="M218" i="4"/>
  <c r="I217" i="4"/>
  <c r="J217" i="4" s="1"/>
  <c r="K217" i="4" s="1"/>
  <c r="M217" i="4"/>
  <c r="I216" i="4"/>
  <c r="J216" i="4" s="1"/>
  <c r="K216" i="4" s="1"/>
  <c r="M216" i="4"/>
  <c r="I215" i="4"/>
  <c r="J215" i="4" s="1"/>
  <c r="K215" i="4" s="1"/>
  <c r="M215" i="4"/>
  <c r="I214" i="4"/>
  <c r="J214" i="4" s="1"/>
  <c r="K214" i="4" s="1"/>
  <c r="M214" i="4"/>
  <c r="I213" i="4"/>
  <c r="J213" i="4" s="1"/>
  <c r="K213" i="4" s="1"/>
  <c r="M213" i="4"/>
  <c r="F135" i="7"/>
  <c r="L135" i="7" s="1"/>
  <c r="F136" i="7"/>
  <c r="L136" i="7" s="1"/>
  <c r="F137" i="7"/>
  <c r="L137" i="7" s="1"/>
  <c r="F138" i="7"/>
  <c r="L138" i="7" s="1"/>
  <c r="F139" i="7"/>
  <c r="L139" i="7" s="1"/>
  <c r="F140" i="7"/>
  <c r="L140" i="7" s="1"/>
  <c r="F141" i="7"/>
  <c r="L141" i="7" s="1"/>
  <c r="F142" i="7"/>
  <c r="L142" i="7" s="1"/>
  <c r="F143" i="7"/>
  <c r="L143" i="7" s="1"/>
  <c r="F144" i="7"/>
  <c r="L144" i="7" s="1"/>
  <c r="F145" i="7"/>
  <c r="L145" i="7" s="1"/>
  <c r="F146" i="7"/>
  <c r="L146" i="7" s="1"/>
  <c r="F147" i="7"/>
  <c r="L147" i="7" s="1"/>
  <c r="F148" i="7"/>
  <c r="L148" i="7" s="1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L172" i="7" s="1"/>
  <c r="F173" i="7"/>
  <c r="L173" i="7" s="1"/>
  <c r="F174" i="7"/>
  <c r="L174" i="7" s="1"/>
  <c r="F175" i="7"/>
  <c r="L175" i="7" s="1"/>
  <c r="F176" i="7"/>
  <c r="L176" i="7" s="1"/>
  <c r="F177" i="7"/>
  <c r="L177" i="7" s="1"/>
  <c r="F178" i="7"/>
  <c r="L178" i="7" s="1"/>
  <c r="F179" i="7"/>
  <c r="L179" i="7" s="1"/>
  <c r="F180" i="7"/>
  <c r="L180" i="7" s="1"/>
  <c r="F181" i="7"/>
  <c r="L181" i="7" s="1"/>
  <c r="F182" i="7"/>
  <c r="L182" i="7" s="1"/>
  <c r="F183" i="7"/>
  <c r="L183" i="7" s="1"/>
  <c r="F184" i="7"/>
  <c r="L184" i="7" s="1"/>
  <c r="F185" i="7"/>
  <c r="L185" i="7" s="1"/>
  <c r="F186" i="7"/>
  <c r="L186" i="7" s="1"/>
  <c r="F187" i="7"/>
  <c r="L187" i="7" s="1"/>
  <c r="F188" i="7"/>
  <c r="L188" i="7" s="1"/>
  <c r="F189" i="7"/>
  <c r="L189" i="7" s="1"/>
  <c r="F190" i="7"/>
  <c r="L190" i="7" s="1"/>
  <c r="F191" i="7"/>
  <c r="L191" i="7" s="1"/>
  <c r="F192" i="7"/>
  <c r="L192" i="7" s="1"/>
  <c r="F193" i="7"/>
  <c r="L193" i="7" s="1"/>
  <c r="F194" i="7"/>
  <c r="I194" i="7" s="1"/>
  <c r="J194" i="7" s="1"/>
  <c r="K194" i="7" s="1"/>
  <c r="F195" i="7"/>
  <c r="I195" i="7" s="1"/>
  <c r="J195" i="7" s="1"/>
  <c r="K195" i="7" s="1"/>
  <c r="F196" i="7"/>
  <c r="I196" i="7" s="1"/>
  <c r="J196" i="7" s="1"/>
  <c r="K196" i="7" s="1"/>
  <c r="F197" i="7"/>
  <c r="I197" i="7" s="1"/>
  <c r="J197" i="7" s="1"/>
  <c r="K197" i="7" s="1"/>
  <c r="F198" i="7"/>
  <c r="I198" i="7" s="1"/>
  <c r="J198" i="7" s="1"/>
  <c r="K198" i="7" s="1"/>
  <c r="F199" i="7"/>
  <c r="I199" i="7" s="1"/>
  <c r="J199" i="7" s="1"/>
  <c r="K199" i="7" s="1"/>
  <c r="F200" i="7"/>
  <c r="I200" i="7" s="1"/>
  <c r="J200" i="7" s="1"/>
  <c r="K200" i="7" s="1"/>
  <c r="F201" i="7"/>
  <c r="I201" i="7" s="1"/>
  <c r="J201" i="7" s="1"/>
  <c r="K201" i="7" s="1"/>
  <c r="F202" i="7"/>
  <c r="I202" i="7" s="1"/>
  <c r="J202" i="7" s="1"/>
  <c r="K202" i="7" s="1"/>
  <c r="F203" i="7"/>
  <c r="I203" i="7" s="1"/>
  <c r="J203" i="7" s="1"/>
  <c r="K203" i="7" s="1"/>
  <c r="F204" i="7"/>
  <c r="I204" i="7" s="1"/>
  <c r="J204" i="7" s="1"/>
  <c r="K204" i="7" s="1"/>
  <c r="F205" i="7"/>
  <c r="I205" i="7" s="1"/>
  <c r="J205" i="7" s="1"/>
  <c r="K205" i="7" s="1"/>
  <c r="F206" i="7"/>
  <c r="I206" i="7" s="1"/>
  <c r="J206" i="7" s="1"/>
  <c r="K206" i="7" s="1"/>
  <c r="F207" i="7"/>
  <c r="L207" i="7" s="1"/>
  <c r="F208" i="7"/>
  <c r="L208" i="7" s="1"/>
  <c r="F209" i="7"/>
  <c r="L209" i="7" s="1"/>
  <c r="F210" i="7"/>
  <c r="L210" i="7" s="1"/>
  <c r="F211" i="7"/>
  <c r="L211" i="7" s="1"/>
  <c r="F212" i="7"/>
  <c r="L212" i="7" s="1"/>
  <c r="F213" i="7"/>
  <c r="L213" i="7" s="1"/>
  <c r="F214" i="7"/>
  <c r="L214" i="7" s="1"/>
  <c r="F215" i="7"/>
  <c r="L215" i="7" s="1"/>
  <c r="F216" i="7"/>
  <c r="L216" i="7" s="1"/>
  <c r="F217" i="7"/>
  <c r="L217" i="7" s="1"/>
  <c r="F218" i="7"/>
  <c r="L218" i="7" s="1"/>
  <c r="F219" i="7"/>
  <c r="L219" i="7" s="1"/>
  <c r="F220" i="7"/>
  <c r="L220" i="7" s="1"/>
  <c r="F221" i="7"/>
  <c r="L221" i="7" s="1"/>
  <c r="F222" i="7"/>
  <c r="L222" i="7" s="1"/>
  <c r="F223" i="7"/>
  <c r="L223" i="7" s="1"/>
  <c r="F224" i="7"/>
  <c r="L224" i="7" s="1"/>
  <c r="F225" i="7"/>
  <c r="L225" i="7" s="1"/>
  <c r="F226" i="7"/>
  <c r="L226" i="7" s="1"/>
  <c r="F227" i="7"/>
  <c r="L227" i="7" s="1"/>
  <c r="F228" i="7"/>
  <c r="L228" i="7" s="1"/>
  <c r="F229" i="7"/>
  <c r="L229" i="7" s="1"/>
  <c r="F230" i="7"/>
  <c r="L230" i="7" s="1"/>
  <c r="F231" i="7"/>
  <c r="L231" i="7" s="1"/>
  <c r="F232" i="7"/>
  <c r="L232" i="7" s="1"/>
  <c r="F233" i="7"/>
  <c r="L233" i="7" s="1"/>
  <c r="F234" i="7"/>
  <c r="L234" i="7" s="1"/>
  <c r="F235" i="7"/>
  <c r="L235" i="7" s="1"/>
  <c r="F236" i="7"/>
  <c r="L236" i="7" s="1"/>
  <c r="F237" i="7"/>
  <c r="L237" i="7" s="1"/>
  <c r="F238" i="7"/>
  <c r="L238" i="7" s="1"/>
  <c r="F239" i="7"/>
  <c r="L239" i="7" s="1"/>
  <c r="F240" i="7"/>
  <c r="L240" i="7" s="1"/>
  <c r="F241" i="7"/>
  <c r="L241" i="7" s="1"/>
  <c r="F242" i="7"/>
  <c r="L242" i="7" s="1"/>
  <c r="F243" i="7"/>
  <c r="L243" i="7" s="1"/>
  <c r="F244" i="7"/>
  <c r="L244" i="7" s="1"/>
  <c r="F245" i="7"/>
  <c r="L245" i="7" s="1"/>
  <c r="F246" i="7"/>
  <c r="I246" i="7" s="1"/>
  <c r="J246" i="7" s="1"/>
  <c r="K246" i="7" s="1"/>
  <c r="F247" i="7"/>
  <c r="I247" i="7" s="1"/>
  <c r="J247" i="7" s="1"/>
  <c r="K247" i="7" s="1"/>
  <c r="F248" i="7"/>
  <c r="I248" i="7" s="1"/>
  <c r="J248" i="7" s="1"/>
  <c r="K248" i="7" s="1"/>
  <c r="F249" i="7"/>
  <c r="I249" i="7" s="1"/>
  <c r="J249" i="7" s="1"/>
  <c r="K249" i="7" s="1"/>
  <c r="F250" i="7"/>
  <c r="I250" i="7" s="1"/>
  <c r="J250" i="7" s="1"/>
  <c r="K250" i="7" s="1"/>
  <c r="F251" i="7"/>
  <c r="I251" i="7" s="1"/>
  <c r="J251" i="7" s="1"/>
  <c r="K251" i="7" s="1"/>
  <c r="F252" i="7"/>
  <c r="I252" i="7" s="1"/>
  <c r="J252" i="7" s="1"/>
  <c r="K252" i="7" s="1"/>
  <c r="F253" i="7"/>
  <c r="I253" i="7" s="1"/>
  <c r="J253" i="7" s="1"/>
  <c r="K253" i="7" s="1"/>
  <c r="F254" i="7"/>
  <c r="I254" i="7" s="1"/>
  <c r="J254" i="7" s="1"/>
  <c r="K254" i="7" s="1"/>
  <c r="F255" i="7"/>
  <c r="I255" i="7" s="1"/>
  <c r="J255" i="7" s="1"/>
  <c r="K255" i="7" s="1"/>
  <c r="F256" i="7"/>
  <c r="I256" i="7" s="1"/>
  <c r="J256" i="7" s="1"/>
  <c r="K256" i="7" s="1"/>
  <c r="F257" i="7"/>
  <c r="I257" i="7" s="1"/>
  <c r="J257" i="7" s="1"/>
  <c r="K257" i="7" s="1"/>
  <c r="F258" i="7"/>
  <c r="I258" i="7" s="1"/>
  <c r="J258" i="7" s="1"/>
  <c r="K258" i="7" s="1"/>
  <c r="F259" i="7"/>
  <c r="I259" i="7" s="1"/>
  <c r="J259" i="7" s="1"/>
  <c r="K259" i="7" s="1"/>
  <c r="F260" i="7"/>
  <c r="I260" i="7" s="1"/>
  <c r="J260" i="7" s="1"/>
  <c r="K260" i="7" s="1"/>
  <c r="F261" i="7"/>
  <c r="I261" i="7" s="1"/>
  <c r="J261" i="7" s="1"/>
  <c r="K261" i="7" s="1"/>
  <c r="F262" i="7"/>
  <c r="I262" i="7" s="1"/>
  <c r="J262" i="7" s="1"/>
  <c r="K262" i="7" s="1"/>
  <c r="F263" i="7"/>
  <c r="I263" i="7" s="1"/>
  <c r="J263" i="7" s="1"/>
  <c r="K263" i="7" s="1"/>
  <c r="F264" i="7"/>
  <c r="I264" i="7" s="1"/>
  <c r="J264" i="7" s="1"/>
  <c r="K264" i="7" s="1"/>
  <c r="F265" i="7"/>
  <c r="I265" i="7" s="1"/>
  <c r="J265" i="7" s="1"/>
  <c r="K265" i="7" s="1"/>
  <c r="F266" i="7"/>
  <c r="I266" i="7" s="1"/>
  <c r="J266" i="7" s="1"/>
  <c r="K266" i="7" s="1"/>
  <c r="F267" i="7"/>
  <c r="I267" i="7" s="1"/>
  <c r="J267" i="7" s="1"/>
  <c r="K267" i="7" s="1"/>
  <c r="F268" i="7"/>
  <c r="I268" i="7" s="1"/>
  <c r="J268" i="7" s="1"/>
  <c r="K268" i="7" s="1"/>
  <c r="F269" i="7"/>
  <c r="I269" i="7" s="1"/>
  <c r="J269" i="7" s="1"/>
  <c r="K269" i="7" s="1"/>
  <c r="F127" i="7"/>
  <c r="I127" i="7" s="1"/>
  <c r="J127" i="7" s="1"/>
  <c r="K127" i="7" s="1"/>
  <c r="F128" i="7"/>
  <c r="I128" i="7" s="1"/>
  <c r="J128" i="7" s="1"/>
  <c r="K128" i="7" s="1"/>
  <c r="F129" i="7"/>
  <c r="I129" i="7" s="1"/>
  <c r="J129" i="7" s="1"/>
  <c r="K129" i="7" s="1"/>
  <c r="F130" i="7"/>
  <c r="I130" i="7" s="1"/>
  <c r="J130" i="7" s="1"/>
  <c r="K130" i="7" s="1"/>
  <c r="F131" i="7"/>
  <c r="I131" i="7" s="1"/>
  <c r="J131" i="7" s="1"/>
  <c r="K131" i="7" s="1"/>
  <c r="F132" i="7"/>
  <c r="I132" i="7" s="1"/>
  <c r="J132" i="7" s="1"/>
  <c r="K132" i="7" s="1"/>
  <c r="F133" i="7"/>
  <c r="I133" i="7" s="1"/>
  <c r="J133" i="7" s="1"/>
  <c r="K133" i="7" s="1"/>
  <c r="F134" i="7"/>
  <c r="I134" i="7" s="1"/>
  <c r="J134" i="7" s="1"/>
  <c r="K134" i="7" s="1"/>
  <c r="L127" i="7" l="1"/>
  <c r="M194" i="7"/>
  <c r="L133" i="7"/>
  <c r="L132" i="7"/>
  <c r="L131" i="7"/>
  <c r="L130" i="7"/>
  <c r="L129" i="7"/>
  <c r="L128" i="7"/>
  <c r="L194" i="7"/>
  <c r="L134" i="7"/>
  <c r="L246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I171" i="7"/>
  <c r="J171" i="7" s="1"/>
  <c r="K171" i="7" s="1"/>
  <c r="M171" i="7"/>
  <c r="L171" i="7"/>
  <c r="I170" i="7"/>
  <c r="J170" i="7" s="1"/>
  <c r="K170" i="7" s="1"/>
  <c r="M170" i="7"/>
  <c r="L170" i="7"/>
  <c r="I168" i="7"/>
  <c r="J168" i="7" s="1"/>
  <c r="K168" i="7" s="1"/>
  <c r="M168" i="7"/>
  <c r="L168" i="7"/>
  <c r="I166" i="7"/>
  <c r="J166" i="7" s="1"/>
  <c r="K166" i="7" s="1"/>
  <c r="M166" i="7"/>
  <c r="L166" i="7"/>
  <c r="I164" i="7"/>
  <c r="J164" i="7" s="1"/>
  <c r="K164" i="7" s="1"/>
  <c r="M164" i="7"/>
  <c r="L164" i="7"/>
  <c r="I162" i="7"/>
  <c r="J162" i="7" s="1"/>
  <c r="K162" i="7" s="1"/>
  <c r="M162" i="7"/>
  <c r="L162" i="7"/>
  <c r="I160" i="7"/>
  <c r="J160" i="7" s="1"/>
  <c r="K160" i="7" s="1"/>
  <c r="M160" i="7"/>
  <c r="L160" i="7"/>
  <c r="I158" i="7"/>
  <c r="J158" i="7" s="1"/>
  <c r="K158" i="7" s="1"/>
  <c r="M158" i="7"/>
  <c r="L158" i="7"/>
  <c r="I157" i="7"/>
  <c r="J157" i="7" s="1"/>
  <c r="K157" i="7" s="1"/>
  <c r="M157" i="7"/>
  <c r="L157" i="7"/>
  <c r="I156" i="7"/>
  <c r="J156" i="7" s="1"/>
  <c r="K156" i="7" s="1"/>
  <c r="M156" i="7"/>
  <c r="L156" i="7"/>
  <c r="I154" i="7"/>
  <c r="J154" i="7" s="1"/>
  <c r="K154" i="7" s="1"/>
  <c r="M154" i="7"/>
  <c r="L154" i="7"/>
  <c r="I152" i="7"/>
  <c r="J152" i="7" s="1"/>
  <c r="K152" i="7" s="1"/>
  <c r="M152" i="7"/>
  <c r="L152" i="7"/>
  <c r="I150" i="7"/>
  <c r="J150" i="7" s="1"/>
  <c r="K150" i="7" s="1"/>
  <c r="M150" i="7"/>
  <c r="L150" i="7"/>
  <c r="M134" i="7"/>
  <c r="M133" i="7"/>
  <c r="M132" i="7"/>
  <c r="M131" i="7"/>
  <c r="M130" i="7"/>
  <c r="M129" i="7"/>
  <c r="M128" i="7"/>
  <c r="M127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M246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I193" i="7"/>
  <c r="J193" i="7" s="1"/>
  <c r="K193" i="7" s="1"/>
  <c r="M193" i="7"/>
  <c r="I192" i="7"/>
  <c r="J192" i="7" s="1"/>
  <c r="K192" i="7" s="1"/>
  <c r="M192" i="7"/>
  <c r="I191" i="7"/>
  <c r="J191" i="7" s="1"/>
  <c r="K191" i="7" s="1"/>
  <c r="M191" i="7"/>
  <c r="I190" i="7"/>
  <c r="J190" i="7" s="1"/>
  <c r="K190" i="7" s="1"/>
  <c r="M190" i="7"/>
  <c r="I189" i="7"/>
  <c r="J189" i="7" s="1"/>
  <c r="K189" i="7" s="1"/>
  <c r="M189" i="7"/>
  <c r="I188" i="7"/>
  <c r="J188" i="7" s="1"/>
  <c r="K188" i="7" s="1"/>
  <c r="M188" i="7"/>
  <c r="I187" i="7"/>
  <c r="J187" i="7" s="1"/>
  <c r="K187" i="7" s="1"/>
  <c r="M187" i="7"/>
  <c r="I186" i="7"/>
  <c r="J186" i="7" s="1"/>
  <c r="K186" i="7" s="1"/>
  <c r="M186" i="7"/>
  <c r="I185" i="7"/>
  <c r="J185" i="7" s="1"/>
  <c r="K185" i="7" s="1"/>
  <c r="M185" i="7"/>
  <c r="I184" i="7"/>
  <c r="J184" i="7" s="1"/>
  <c r="K184" i="7" s="1"/>
  <c r="M184" i="7"/>
  <c r="I183" i="7"/>
  <c r="J183" i="7" s="1"/>
  <c r="K183" i="7" s="1"/>
  <c r="M183" i="7"/>
  <c r="I182" i="7"/>
  <c r="J182" i="7" s="1"/>
  <c r="K182" i="7" s="1"/>
  <c r="M182" i="7"/>
  <c r="I181" i="7"/>
  <c r="J181" i="7" s="1"/>
  <c r="K181" i="7" s="1"/>
  <c r="M181" i="7"/>
  <c r="I180" i="7"/>
  <c r="J180" i="7" s="1"/>
  <c r="K180" i="7" s="1"/>
  <c r="M180" i="7"/>
  <c r="I179" i="7"/>
  <c r="J179" i="7" s="1"/>
  <c r="K179" i="7" s="1"/>
  <c r="M179" i="7"/>
  <c r="I178" i="7"/>
  <c r="J178" i="7" s="1"/>
  <c r="K178" i="7" s="1"/>
  <c r="M178" i="7"/>
  <c r="I177" i="7"/>
  <c r="J177" i="7" s="1"/>
  <c r="K177" i="7" s="1"/>
  <c r="M177" i="7"/>
  <c r="I176" i="7"/>
  <c r="J176" i="7" s="1"/>
  <c r="K176" i="7" s="1"/>
  <c r="M176" i="7"/>
  <c r="I175" i="7"/>
  <c r="J175" i="7" s="1"/>
  <c r="K175" i="7" s="1"/>
  <c r="M175" i="7"/>
  <c r="I174" i="7"/>
  <c r="J174" i="7" s="1"/>
  <c r="K174" i="7" s="1"/>
  <c r="M174" i="7"/>
  <c r="I173" i="7"/>
  <c r="J173" i="7" s="1"/>
  <c r="K173" i="7" s="1"/>
  <c r="M173" i="7"/>
  <c r="I172" i="7"/>
  <c r="J172" i="7" s="1"/>
  <c r="K172" i="7" s="1"/>
  <c r="M172" i="7"/>
  <c r="I169" i="7"/>
  <c r="J169" i="7" s="1"/>
  <c r="K169" i="7" s="1"/>
  <c r="M169" i="7"/>
  <c r="L169" i="7"/>
  <c r="I167" i="7"/>
  <c r="J167" i="7" s="1"/>
  <c r="K167" i="7" s="1"/>
  <c r="M167" i="7"/>
  <c r="L167" i="7"/>
  <c r="I165" i="7"/>
  <c r="J165" i="7" s="1"/>
  <c r="K165" i="7" s="1"/>
  <c r="M165" i="7"/>
  <c r="L165" i="7"/>
  <c r="I163" i="7"/>
  <c r="J163" i="7" s="1"/>
  <c r="K163" i="7" s="1"/>
  <c r="M163" i="7"/>
  <c r="L163" i="7"/>
  <c r="I161" i="7"/>
  <c r="J161" i="7" s="1"/>
  <c r="K161" i="7" s="1"/>
  <c r="M161" i="7"/>
  <c r="L161" i="7"/>
  <c r="I159" i="7"/>
  <c r="J159" i="7" s="1"/>
  <c r="K159" i="7" s="1"/>
  <c r="M159" i="7"/>
  <c r="L159" i="7"/>
  <c r="I155" i="7"/>
  <c r="J155" i="7" s="1"/>
  <c r="K155" i="7" s="1"/>
  <c r="M155" i="7"/>
  <c r="L155" i="7"/>
  <c r="I153" i="7"/>
  <c r="J153" i="7" s="1"/>
  <c r="K153" i="7" s="1"/>
  <c r="M153" i="7"/>
  <c r="L153" i="7"/>
  <c r="I151" i="7"/>
  <c r="J151" i="7" s="1"/>
  <c r="K151" i="7" s="1"/>
  <c r="M151" i="7"/>
  <c r="L151" i="7"/>
  <c r="I149" i="7"/>
  <c r="J149" i="7" s="1"/>
  <c r="K149" i="7" s="1"/>
  <c r="M149" i="7"/>
  <c r="I148" i="7"/>
  <c r="J148" i="7" s="1"/>
  <c r="K148" i="7" s="1"/>
  <c r="M148" i="7"/>
  <c r="I147" i="7"/>
  <c r="J147" i="7" s="1"/>
  <c r="K147" i="7" s="1"/>
  <c r="M147" i="7"/>
  <c r="I146" i="7"/>
  <c r="J146" i="7" s="1"/>
  <c r="K146" i="7" s="1"/>
  <c r="M146" i="7"/>
  <c r="I145" i="7"/>
  <c r="J145" i="7" s="1"/>
  <c r="K145" i="7" s="1"/>
  <c r="M145" i="7"/>
  <c r="I144" i="7"/>
  <c r="J144" i="7" s="1"/>
  <c r="K144" i="7" s="1"/>
  <c r="M144" i="7"/>
  <c r="I143" i="7"/>
  <c r="J143" i="7" s="1"/>
  <c r="K143" i="7" s="1"/>
  <c r="M143" i="7"/>
  <c r="I142" i="7"/>
  <c r="J142" i="7" s="1"/>
  <c r="K142" i="7" s="1"/>
  <c r="M142" i="7"/>
  <c r="I141" i="7"/>
  <c r="J141" i="7" s="1"/>
  <c r="K141" i="7" s="1"/>
  <c r="M141" i="7"/>
  <c r="I140" i="7"/>
  <c r="J140" i="7" s="1"/>
  <c r="K140" i="7" s="1"/>
  <c r="M140" i="7"/>
  <c r="I139" i="7"/>
  <c r="J139" i="7" s="1"/>
  <c r="K139" i="7" s="1"/>
  <c r="M139" i="7"/>
  <c r="I138" i="7"/>
  <c r="J138" i="7" s="1"/>
  <c r="K138" i="7" s="1"/>
  <c r="M138" i="7"/>
  <c r="I137" i="7"/>
  <c r="J137" i="7" s="1"/>
  <c r="K137" i="7" s="1"/>
  <c r="M137" i="7"/>
  <c r="I136" i="7"/>
  <c r="J136" i="7" s="1"/>
  <c r="K136" i="7" s="1"/>
  <c r="M136" i="7"/>
  <c r="I135" i="7"/>
  <c r="J135" i="7" s="1"/>
  <c r="K135" i="7" s="1"/>
  <c r="M135" i="7"/>
  <c r="L149" i="7"/>
  <c r="I245" i="7"/>
  <c r="J245" i="7" s="1"/>
  <c r="K245" i="7" s="1"/>
  <c r="M245" i="7"/>
  <c r="I243" i="7"/>
  <c r="J243" i="7" s="1"/>
  <c r="K243" i="7" s="1"/>
  <c r="M243" i="7"/>
  <c r="I242" i="7"/>
  <c r="J242" i="7" s="1"/>
  <c r="K242" i="7" s="1"/>
  <c r="M242" i="7"/>
  <c r="I239" i="7"/>
  <c r="J239" i="7" s="1"/>
  <c r="K239" i="7" s="1"/>
  <c r="M239" i="7"/>
  <c r="I237" i="7"/>
  <c r="J237" i="7" s="1"/>
  <c r="K237" i="7" s="1"/>
  <c r="M237" i="7"/>
  <c r="I235" i="7"/>
  <c r="J235" i="7" s="1"/>
  <c r="K235" i="7" s="1"/>
  <c r="M235" i="7"/>
  <c r="I233" i="7"/>
  <c r="J233" i="7" s="1"/>
  <c r="K233" i="7" s="1"/>
  <c r="M233" i="7"/>
  <c r="I231" i="7"/>
  <c r="J231" i="7" s="1"/>
  <c r="K231" i="7" s="1"/>
  <c r="M231" i="7"/>
  <c r="I229" i="7"/>
  <c r="J229" i="7" s="1"/>
  <c r="K229" i="7" s="1"/>
  <c r="M229" i="7"/>
  <c r="I227" i="7"/>
  <c r="J227" i="7" s="1"/>
  <c r="K227" i="7" s="1"/>
  <c r="M227" i="7"/>
  <c r="I225" i="7"/>
  <c r="J225" i="7" s="1"/>
  <c r="K225" i="7" s="1"/>
  <c r="M225" i="7"/>
  <c r="I223" i="7"/>
  <c r="J223" i="7" s="1"/>
  <c r="K223" i="7" s="1"/>
  <c r="M223" i="7"/>
  <c r="I221" i="7"/>
  <c r="J221" i="7" s="1"/>
  <c r="K221" i="7" s="1"/>
  <c r="M221" i="7"/>
  <c r="I219" i="7"/>
  <c r="J219" i="7" s="1"/>
  <c r="K219" i="7" s="1"/>
  <c r="M219" i="7"/>
  <c r="I217" i="7"/>
  <c r="J217" i="7" s="1"/>
  <c r="K217" i="7" s="1"/>
  <c r="M217" i="7"/>
  <c r="I215" i="7"/>
  <c r="J215" i="7" s="1"/>
  <c r="K215" i="7" s="1"/>
  <c r="M215" i="7"/>
  <c r="I213" i="7"/>
  <c r="J213" i="7" s="1"/>
  <c r="K213" i="7" s="1"/>
  <c r="M213" i="7"/>
  <c r="I211" i="7"/>
  <c r="J211" i="7" s="1"/>
  <c r="K211" i="7" s="1"/>
  <c r="M211" i="7"/>
  <c r="I210" i="7"/>
  <c r="J210" i="7" s="1"/>
  <c r="K210" i="7" s="1"/>
  <c r="M210" i="7"/>
  <c r="I208" i="7"/>
  <c r="J208" i="7" s="1"/>
  <c r="K208" i="7" s="1"/>
  <c r="M208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I244" i="7"/>
  <c r="J244" i="7" s="1"/>
  <c r="K244" i="7" s="1"/>
  <c r="M244" i="7"/>
  <c r="I241" i="7"/>
  <c r="J241" i="7" s="1"/>
  <c r="K241" i="7" s="1"/>
  <c r="M241" i="7"/>
  <c r="I240" i="7"/>
  <c r="J240" i="7" s="1"/>
  <c r="K240" i="7" s="1"/>
  <c r="M240" i="7"/>
  <c r="I238" i="7"/>
  <c r="J238" i="7" s="1"/>
  <c r="K238" i="7" s="1"/>
  <c r="M238" i="7"/>
  <c r="I236" i="7"/>
  <c r="J236" i="7" s="1"/>
  <c r="K236" i="7" s="1"/>
  <c r="M236" i="7"/>
  <c r="I234" i="7"/>
  <c r="J234" i="7" s="1"/>
  <c r="K234" i="7" s="1"/>
  <c r="M234" i="7"/>
  <c r="I232" i="7"/>
  <c r="J232" i="7" s="1"/>
  <c r="K232" i="7" s="1"/>
  <c r="M232" i="7"/>
  <c r="I230" i="7"/>
  <c r="J230" i="7" s="1"/>
  <c r="K230" i="7" s="1"/>
  <c r="M230" i="7"/>
  <c r="I228" i="7"/>
  <c r="J228" i="7" s="1"/>
  <c r="K228" i="7" s="1"/>
  <c r="M228" i="7"/>
  <c r="I226" i="7"/>
  <c r="J226" i="7" s="1"/>
  <c r="K226" i="7" s="1"/>
  <c r="M226" i="7"/>
  <c r="I224" i="7"/>
  <c r="J224" i="7" s="1"/>
  <c r="K224" i="7" s="1"/>
  <c r="M224" i="7"/>
  <c r="I222" i="7"/>
  <c r="J222" i="7" s="1"/>
  <c r="K222" i="7" s="1"/>
  <c r="M222" i="7"/>
  <c r="I220" i="7"/>
  <c r="J220" i="7" s="1"/>
  <c r="K220" i="7" s="1"/>
  <c r="M220" i="7"/>
  <c r="I218" i="7"/>
  <c r="J218" i="7" s="1"/>
  <c r="K218" i="7" s="1"/>
  <c r="M218" i="7"/>
  <c r="I216" i="7"/>
  <c r="J216" i="7" s="1"/>
  <c r="K216" i="7" s="1"/>
  <c r="M216" i="7"/>
  <c r="I214" i="7"/>
  <c r="J214" i="7" s="1"/>
  <c r="K214" i="7" s="1"/>
  <c r="M214" i="7"/>
  <c r="I212" i="7"/>
  <c r="J212" i="7" s="1"/>
  <c r="K212" i="7" s="1"/>
  <c r="M212" i="7"/>
  <c r="I209" i="7"/>
  <c r="J209" i="7" s="1"/>
  <c r="K209" i="7" s="1"/>
  <c r="M209" i="7"/>
  <c r="I207" i="7"/>
  <c r="J207" i="7" s="1"/>
  <c r="K207" i="7" s="1"/>
  <c r="M207" i="7"/>
  <c r="F120" i="4"/>
  <c r="L120" i="4" s="1"/>
  <c r="F121" i="4"/>
  <c r="F122" i="4"/>
  <c r="F123" i="4"/>
  <c r="F124" i="4"/>
  <c r="L124" i="4" s="1"/>
  <c r="F125" i="4"/>
  <c r="L125" i="4" s="1"/>
  <c r="F126" i="4"/>
  <c r="L126" i="4" s="1"/>
  <c r="F127" i="4"/>
  <c r="L127" i="4" s="1"/>
  <c r="F128" i="4"/>
  <c r="L128" i="4" s="1"/>
  <c r="F129" i="4"/>
  <c r="L129" i="4" s="1"/>
  <c r="F130" i="4"/>
  <c r="L130" i="4" s="1"/>
  <c r="F131" i="4"/>
  <c r="L131" i="4" s="1"/>
  <c r="F132" i="4"/>
  <c r="L132" i="4" s="1"/>
  <c r="F133" i="4"/>
  <c r="L133" i="4" s="1"/>
  <c r="F134" i="4"/>
  <c r="L134" i="4" s="1"/>
  <c r="F135" i="4"/>
  <c r="L135" i="4" s="1"/>
  <c r="F136" i="4"/>
  <c r="L136" i="4" s="1"/>
  <c r="F137" i="4"/>
  <c r="L137" i="4" s="1"/>
  <c r="F138" i="4"/>
  <c r="L138" i="4" s="1"/>
  <c r="F139" i="4"/>
  <c r="L139" i="4" s="1"/>
  <c r="F140" i="4"/>
  <c r="L140" i="4" s="1"/>
  <c r="F141" i="4"/>
  <c r="L141" i="4" s="1"/>
  <c r="F142" i="4"/>
  <c r="L142" i="4" s="1"/>
  <c r="F143" i="4"/>
  <c r="L143" i="4" s="1"/>
  <c r="F144" i="4"/>
  <c r="L144" i="4" s="1"/>
  <c r="F145" i="4"/>
  <c r="L145" i="4" s="1"/>
  <c r="F146" i="4"/>
  <c r="L146" i="4" s="1"/>
  <c r="F147" i="4"/>
  <c r="L147" i="4" s="1"/>
  <c r="F148" i="4"/>
  <c r="L148" i="4" s="1"/>
  <c r="F149" i="4"/>
  <c r="L149" i="4" s="1"/>
  <c r="F150" i="4"/>
  <c r="L150" i="4" s="1"/>
  <c r="F151" i="4"/>
  <c r="L151" i="4" s="1"/>
  <c r="F152" i="4"/>
  <c r="I152" i="4" s="1"/>
  <c r="J152" i="4" s="1"/>
  <c r="K152" i="4" s="1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I185" i="4" s="1"/>
  <c r="J185" i="4" s="1"/>
  <c r="K185" i="4" s="1"/>
  <c r="F186" i="4"/>
  <c r="I186" i="4" s="1"/>
  <c r="J186" i="4" s="1"/>
  <c r="K186" i="4" s="1"/>
  <c r="F187" i="4"/>
  <c r="I187" i="4" s="1"/>
  <c r="J187" i="4" s="1"/>
  <c r="K187" i="4" s="1"/>
  <c r="F188" i="4"/>
  <c r="I188" i="4" s="1"/>
  <c r="J188" i="4" s="1"/>
  <c r="K188" i="4" s="1"/>
  <c r="F189" i="4"/>
  <c r="I189" i="4" s="1"/>
  <c r="J189" i="4" s="1"/>
  <c r="K189" i="4" s="1"/>
  <c r="F190" i="4"/>
  <c r="I190" i="4" s="1"/>
  <c r="J190" i="4" s="1"/>
  <c r="K190" i="4" s="1"/>
  <c r="F191" i="4"/>
  <c r="I191" i="4" s="1"/>
  <c r="J191" i="4" s="1"/>
  <c r="K191" i="4" s="1"/>
  <c r="F192" i="4"/>
  <c r="I192" i="4" s="1"/>
  <c r="J192" i="4" s="1"/>
  <c r="K192" i="4" s="1"/>
  <c r="F193" i="4"/>
  <c r="I193" i="4" s="1"/>
  <c r="J193" i="4" s="1"/>
  <c r="K193" i="4" s="1"/>
  <c r="F194" i="4"/>
  <c r="I194" i="4" s="1"/>
  <c r="J194" i="4" s="1"/>
  <c r="K194" i="4" s="1"/>
  <c r="F195" i="4"/>
  <c r="I195" i="4" s="1"/>
  <c r="J195" i="4" s="1"/>
  <c r="K195" i="4" s="1"/>
  <c r="F196" i="4"/>
  <c r="I196" i="4" s="1"/>
  <c r="J196" i="4" s="1"/>
  <c r="K196" i="4" s="1"/>
  <c r="F197" i="4"/>
  <c r="I197" i="4" s="1"/>
  <c r="J197" i="4" s="1"/>
  <c r="K197" i="4" s="1"/>
  <c r="F198" i="4"/>
  <c r="I198" i="4" s="1"/>
  <c r="J198" i="4" s="1"/>
  <c r="K198" i="4" s="1"/>
  <c r="F199" i="4"/>
  <c r="I199" i="4" s="1"/>
  <c r="J199" i="4" s="1"/>
  <c r="K199" i="4" s="1"/>
  <c r="F200" i="4"/>
  <c r="I200" i="4" s="1"/>
  <c r="J200" i="4" s="1"/>
  <c r="K200" i="4" s="1"/>
  <c r="F201" i="4"/>
  <c r="I201" i="4" s="1"/>
  <c r="J201" i="4" s="1"/>
  <c r="K201" i="4" s="1"/>
  <c r="F202" i="4"/>
  <c r="I202" i="4" s="1"/>
  <c r="J202" i="4" s="1"/>
  <c r="K202" i="4" s="1"/>
  <c r="F203" i="4"/>
  <c r="I203" i="4" s="1"/>
  <c r="J203" i="4" s="1"/>
  <c r="K203" i="4" s="1"/>
  <c r="F204" i="4"/>
  <c r="I204" i="4" s="1"/>
  <c r="J204" i="4" s="1"/>
  <c r="K204" i="4" s="1"/>
  <c r="F205" i="4"/>
  <c r="I205" i="4" s="1"/>
  <c r="J205" i="4" s="1"/>
  <c r="K205" i="4" s="1"/>
  <c r="F206" i="4"/>
  <c r="I206" i="4" s="1"/>
  <c r="J206" i="4" s="1"/>
  <c r="K206" i="4" s="1"/>
  <c r="F207" i="4"/>
  <c r="I207" i="4" s="1"/>
  <c r="J207" i="4" s="1"/>
  <c r="K207" i="4" s="1"/>
  <c r="F208" i="4"/>
  <c r="I208" i="4" s="1"/>
  <c r="J208" i="4" s="1"/>
  <c r="K208" i="4" s="1"/>
  <c r="F209" i="4"/>
  <c r="I209" i="4" s="1"/>
  <c r="J209" i="4" s="1"/>
  <c r="K209" i="4" s="1"/>
  <c r="F210" i="4"/>
  <c r="I210" i="4" s="1"/>
  <c r="J210" i="4" s="1"/>
  <c r="K210" i="4" s="1"/>
  <c r="F211" i="4"/>
  <c r="I211" i="4" s="1"/>
  <c r="J211" i="4" s="1"/>
  <c r="K211" i="4" s="1"/>
  <c r="F212" i="4"/>
  <c r="I212" i="4" s="1"/>
  <c r="J212" i="4" s="1"/>
  <c r="K212" i="4" s="1"/>
  <c r="M152" i="4" l="1"/>
  <c r="L190" i="4"/>
  <c r="L189" i="4"/>
  <c r="L188" i="4"/>
  <c r="L187" i="4"/>
  <c r="L186" i="4"/>
  <c r="L185" i="4"/>
  <c r="L152" i="4"/>
  <c r="I184" i="4"/>
  <c r="J184" i="4" s="1"/>
  <c r="K184" i="4" s="1"/>
  <c r="M184" i="4"/>
  <c r="I183" i="4"/>
  <c r="J183" i="4" s="1"/>
  <c r="K183" i="4" s="1"/>
  <c r="M183" i="4"/>
  <c r="I182" i="4"/>
  <c r="J182" i="4" s="1"/>
  <c r="K182" i="4" s="1"/>
  <c r="M182" i="4"/>
  <c r="I181" i="4"/>
  <c r="J181" i="4" s="1"/>
  <c r="K181" i="4" s="1"/>
  <c r="M181" i="4"/>
  <c r="I180" i="4"/>
  <c r="J180" i="4" s="1"/>
  <c r="K180" i="4" s="1"/>
  <c r="M180" i="4"/>
  <c r="I179" i="4"/>
  <c r="J179" i="4" s="1"/>
  <c r="K179" i="4" s="1"/>
  <c r="M179" i="4"/>
  <c r="I178" i="4"/>
  <c r="J178" i="4" s="1"/>
  <c r="K178" i="4" s="1"/>
  <c r="M178" i="4"/>
  <c r="I177" i="4"/>
  <c r="J177" i="4" s="1"/>
  <c r="K177" i="4" s="1"/>
  <c r="M177" i="4"/>
  <c r="I176" i="4"/>
  <c r="J176" i="4" s="1"/>
  <c r="K176" i="4" s="1"/>
  <c r="M176" i="4"/>
  <c r="I175" i="4"/>
  <c r="J175" i="4" s="1"/>
  <c r="K175" i="4" s="1"/>
  <c r="M175" i="4"/>
  <c r="I174" i="4"/>
  <c r="J174" i="4" s="1"/>
  <c r="K174" i="4" s="1"/>
  <c r="M174" i="4"/>
  <c r="I173" i="4"/>
  <c r="J173" i="4" s="1"/>
  <c r="K173" i="4" s="1"/>
  <c r="M173" i="4"/>
  <c r="I172" i="4"/>
  <c r="J172" i="4" s="1"/>
  <c r="K172" i="4" s="1"/>
  <c r="M172" i="4"/>
  <c r="I171" i="4"/>
  <c r="J171" i="4" s="1"/>
  <c r="K171" i="4" s="1"/>
  <c r="M171" i="4"/>
  <c r="I170" i="4"/>
  <c r="J170" i="4" s="1"/>
  <c r="K170" i="4" s="1"/>
  <c r="M170" i="4"/>
  <c r="I169" i="4"/>
  <c r="J169" i="4" s="1"/>
  <c r="K169" i="4" s="1"/>
  <c r="M169" i="4"/>
  <c r="I168" i="4"/>
  <c r="J168" i="4" s="1"/>
  <c r="K168" i="4" s="1"/>
  <c r="M168" i="4"/>
  <c r="I167" i="4"/>
  <c r="J167" i="4" s="1"/>
  <c r="K167" i="4" s="1"/>
  <c r="M167" i="4"/>
  <c r="I166" i="4"/>
  <c r="J166" i="4" s="1"/>
  <c r="K166" i="4" s="1"/>
  <c r="M166" i="4"/>
  <c r="I165" i="4"/>
  <c r="J165" i="4" s="1"/>
  <c r="K165" i="4" s="1"/>
  <c r="M165" i="4"/>
  <c r="I164" i="4"/>
  <c r="J164" i="4" s="1"/>
  <c r="K164" i="4" s="1"/>
  <c r="M164" i="4"/>
  <c r="I163" i="4"/>
  <c r="J163" i="4" s="1"/>
  <c r="K163" i="4" s="1"/>
  <c r="M163" i="4"/>
  <c r="I162" i="4"/>
  <c r="J162" i="4" s="1"/>
  <c r="K162" i="4" s="1"/>
  <c r="M162" i="4"/>
  <c r="I161" i="4"/>
  <c r="J161" i="4" s="1"/>
  <c r="K161" i="4" s="1"/>
  <c r="M161" i="4"/>
  <c r="I160" i="4"/>
  <c r="J160" i="4" s="1"/>
  <c r="K160" i="4" s="1"/>
  <c r="M160" i="4"/>
  <c r="I159" i="4"/>
  <c r="J159" i="4" s="1"/>
  <c r="K159" i="4" s="1"/>
  <c r="M159" i="4"/>
  <c r="I158" i="4"/>
  <c r="J158" i="4" s="1"/>
  <c r="K158" i="4" s="1"/>
  <c r="M158" i="4"/>
  <c r="I157" i="4"/>
  <c r="J157" i="4" s="1"/>
  <c r="K157" i="4" s="1"/>
  <c r="M157" i="4"/>
  <c r="I156" i="4"/>
  <c r="J156" i="4" s="1"/>
  <c r="K156" i="4" s="1"/>
  <c r="M156" i="4"/>
  <c r="I155" i="4"/>
  <c r="J155" i="4" s="1"/>
  <c r="K155" i="4" s="1"/>
  <c r="M155" i="4"/>
  <c r="I154" i="4"/>
  <c r="J154" i="4" s="1"/>
  <c r="K154" i="4" s="1"/>
  <c r="M154" i="4"/>
  <c r="I153" i="4"/>
  <c r="J153" i="4" s="1"/>
  <c r="K153" i="4" s="1"/>
  <c r="M153" i="4"/>
  <c r="I123" i="4"/>
  <c r="J123" i="4" s="1"/>
  <c r="K123" i="4" s="1"/>
  <c r="L123" i="4"/>
  <c r="I121" i="4"/>
  <c r="J121" i="4" s="1"/>
  <c r="K121" i="4" s="1"/>
  <c r="M121" i="4"/>
  <c r="L121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M190" i="4"/>
  <c r="M189" i="4"/>
  <c r="M188" i="4"/>
  <c r="M187" i="4"/>
  <c r="M186" i="4"/>
  <c r="M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I122" i="4"/>
  <c r="J122" i="4" s="1"/>
  <c r="K122" i="4" s="1"/>
  <c r="M122" i="4"/>
  <c r="L122" i="4"/>
  <c r="I151" i="4"/>
  <c r="J151" i="4" s="1"/>
  <c r="K151" i="4" s="1"/>
  <c r="M151" i="4"/>
  <c r="I150" i="4"/>
  <c r="J150" i="4" s="1"/>
  <c r="K150" i="4" s="1"/>
  <c r="M150" i="4"/>
  <c r="I149" i="4"/>
  <c r="J149" i="4" s="1"/>
  <c r="K149" i="4" s="1"/>
  <c r="M149" i="4"/>
  <c r="I148" i="4"/>
  <c r="J148" i="4" s="1"/>
  <c r="K148" i="4" s="1"/>
  <c r="M148" i="4"/>
  <c r="I147" i="4"/>
  <c r="J147" i="4" s="1"/>
  <c r="K147" i="4" s="1"/>
  <c r="M147" i="4"/>
  <c r="I146" i="4"/>
  <c r="J146" i="4" s="1"/>
  <c r="K146" i="4" s="1"/>
  <c r="M146" i="4"/>
  <c r="I145" i="4"/>
  <c r="J145" i="4" s="1"/>
  <c r="K145" i="4" s="1"/>
  <c r="M145" i="4"/>
  <c r="I144" i="4"/>
  <c r="J144" i="4" s="1"/>
  <c r="K144" i="4" s="1"/>
  <c r="M144" i="4"/>
  <c r="I143" i="4"/>
  <c r="J143" i="4" s="1"/>
  <c r="K143" i="4" s="1"/>
  <c r="M143" i="4"/>
  <c r="I142" i="4"/>
  <c r="J142" i="4" s="1"/>
  <c r="K142" i="4" s="1"/>
  <c r="M142" i="4"/>
  <c r="I141" i="4"/>
  <c r="J141" i="4" s="1"/>
  <c r="K141" i="4" s="1"/>
  <c r="M141" i="4"/>
  <c r="I140" i="4"/>
  <c r="J140" i="4" s="1"/>
  <c r="K140" i="4" s="1"/>
  <c r="M140" i="4"/>
  <c r="I139" i="4"/>
  <c r="J139" i="4" s="1"/>
  <c r="K139" i="4" s="1"/>
  <c r="M139" i="4"/>
  <c r="I138" i="4"/>
  <c r="J138" i="4" s="1"/>
  <c r="K138" i="4" s="1"/>
  <c r="M138" i="4"/>
  <c r="I137" i="4"/>
  <c r="J137" i="4" s="1"/>
  <c r="K137" i="4" s="1"/>
  <c r="M137" i="4"/>
  <c r="I136" i="4"/>
  <c r="J136" i="4" s="1"/>
  <c r="K136" i="4" s="1"/>
  <c r="M136" i="4"/>
  <c r="I135" i="4"/>
  <c r="J135" i="4" s="1"/>
  <c r="K135" i="4" s="1"/>
  <c r="M135" i="4"/>
  <c r="I134" i="4"/>
  <c r="J134" i="4" s="1"/>
  <c r="K134" i="4" s="1"/>
  <c r="M134" i="4"/>
  <c r="I133" i="4"/>
  <c r="J133" i="4" s="1"/>
  <c r="K133" i="4" s="1"/>
  <c r="M133" i="4"/>
  <c r="I132" i="4"/>
  <c r="J132" i="4" s="1"/>
  <c r="K132" i="4" s="1"/>
  <c r="M132" i="4"/>
  <c r="I131" i="4"/>
  <c r="J131" i="4" s="1"/>
  <c r="K131" i="4" s="1"/>
  <c r="M131" i="4"/>
  <c r="I130" i="4"/>
  <c r="J130" i="4" s="1"/>
  <c r="K130" i="4" s="1"/>
  <c r="M130" i="4"/>
  <c r="I129" i="4"/>
  <c r="J129" i="4" s="1"/>
  <c r="K129" i="4" s="1"/>
  <c r="M129" i="4"/>
  <c r="I128" i="4"/>
  <c r="J128" i="4" s="1"/>
  <c r="K128" i="4" s="1"/>
  <c r="M128" i="4"/>
  <c r="I127" i="4"/>
  <c r="J127" i="4" s="1"/>
  <c r="K127" i="4" s="1"/>
  <c r="M127" i="4"/>
  <c r="I126" i="4"/>
  <c r="J126" i="4" s="1"/>
  <c r="K126" i="4" s="1"/>
  <c r="M126" i="4"/>
  <c r="I125" i="4"/>
  <c r="J125" i="4" s="1"/>
  <c r="K125" i="4" s="1"/>
  <c r="M125" i="4"/>
  <c r="I124" i="4"/>
  <c r="J124" i="4" s="1"/>
  <c r="K124" i="4" s="1"/>
  <c r="M124" i="4"/>
  <c r="I120" i="4"/>
  <c r="J120" i="4" s="1"/>
  <c r="K120" i="4" s="1"/>
  <c r="M120" i="4"/>
  <c r="M12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F77" i="7" l="1"/>
  <c r="L77" i="7" s="1"/>
  <c r="F78" i="7"/>
  <c r="L78" i="7" s="1"/>
  <c r="F79" i="7"/>
  <c r="L79" i="7" s="1"/>
  <c r="F80" i="7"/>
  <c r="L80" i="7" s="1"/>
  <c r="F81" i="7"/>
  <c r="L81" i="7" s="1"/>
  <c r="F82" i="7"/>
  <c r="L82" i="7" s="1"/>
  <c r="F83" i="7"/>
  <c r="L83" i="7" s="1"/>
  <c r="F84" i="7"/>
  <c r="L84" i="7" s="1"/>
  <c r="F85" i="7"/>
  <c r="L85" i="7" s="1"/>
  <c r="F86" i="7"/>
  <c r="L86" i="7" s="1"/>
  <c r="F87" i="7"/>
  <c r="L87" i="7" s="1"/>
  <c r="F88" i="7"/>
  <c r="L88" i="7" s="1"/>
  <c r="F89" i="7"/>
  <c r="L89" i="7" s="1"/>
  <c r="F90" i="7"/>
  <c r="L90" i="7" s="1"/>
  <c r="F91" i="7"/>
  <c r="L91" i="7" s="1"/>
  <c r="F92" i="7"/>
  <c r="L92" i="7" s="1"/>
  <c r="F93" i="7"/>
  <c r="L93" i="7" s="1"/>
  <c r="F94" i="7"/>
  <c r="L94" i="7" s="1"/>
  <c r="F95" i="7"/>
  <c r="L95" i="7" s="1"/>
  <c r="F96" i="7"/>
  <c r="L96" i="7" s="1"/>
  <c r="F97" i="7"/>
  <c r="L97" i="7" s="1"/>
  <c r="F98" i="7"/>
  <c r="L98" i="7" s="1"/>
  <c r="F99" i="7"/>
  <c r="L99" i="7" s="1"/>
  <c r="F100" i="7"/>
  <c r="I100" i="7" s="1"/>
  <c r="J100" i="7" s="1"/>
  <c r="K100" i="7" s="1"/>
  <c r="F101" i="7"/>
  <c r="F102" i="7"/>
  <c r="F103" i="7"/>
  <c r="F104" i="7"/>
  <c r="F105" i="7"/>
  <c r="F106" i="7"/>
  <c r="F107" i="7"/>
  <c r="F108" i="7"/>
  <c r="F109" i="7"/>
  <c r="F110" i="7"/>
  <c r="F111" i="7"/>
  <c r="I111" i="7" s="1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I124" i="7" s="1"/>
  <c r="J124" i="7" s="1"/>
  <c r="K124" i="7" s="1"/>
  <c r="F125" i="7"/>
  <c r="I125" i="7" s="1"/>
  <c r="J125" i="7" s="1"/>
  <c r="K125" i="7" s="1"/>
  <c r="F126" i="7"/>
  <c r="I126" i="7" s="1"/>
  <c r="J126" i="7" s="1"/>
  <c r="K126" i="7" s="1"/>
  <c r="L126" i="7" l="1"/>
  <c r="L125" i="7"/>
  <c r="L124" i="7"/>
  <c r="M100" i="7"/>
  <c r="M126" i="7"/>
  <c r="M125" i="7"/>
  <c r="M124" i="7"/>
  <c r="L100" i="7"/>
  <c r="I123" i="7"/>
  <c r="J123" i="7" s="1"/>
  <c r="K123" i="7" s="1"/>
  <c r="M123" i="7"/>
  <c r="I122" i="7"/>
  <c r="J122" i="7" s="1"/>
  <c r="K122" i="7" s="1"/>
  <c r="M122" i="7"/>
  <c r="I121" i="7"/>
  <c r="J121" i="7" s="1"/>
  <c r="K121" i="7" s="1"/>
  <c r="M121" i="7"/>
  <c r="I120" i="7"/>
  <c r="J120" i="7" s="1"/>
  <c r="K120" i="7" s="1"/>
  <c r="M120" i="7"/>
  <c r="I119" i="7"/>
  <c r="J119" i="7" s="1"/>
  <c r="K119" i="7" s="1"/>
  <c r="M119" i="7"/>
  <c r="I118" i="7"/>
  <c r="J118" i="7" s="1"/>
  <c r="K118" i="7" s="1"/>
  <c r="M118" i="7"/>
  <c r="I117" i="7"/>
  <c r="J117" i="7" s="1"/>
  <c r="K117" i="7" s="1"/>
  <c r="M117" i="7"/>
  <c r="I116" i="7"/>
  <c r="J116" i="7" s="1"/>
  <c r="K116" i="7" s="1"/>
  <c r="M116" i="7"/>
  <c r="I115" i="7"/>
  <c r="J115" i="7" s="1"/>
  <c r="K115" i="7" s="1"/>
  <c r="M115" i="7"/>
  <c r="I114" i="7"/>
  <c r="J114" i="7" s="1"/>
  <c r="K114" i="7" s="1"/>
  <c r="M114" i="7"/>
  <c r="I113" i="7"/>
  <c r="J113" i="7" s="1"/>
  <c r="K113" i="7" s="1"/>
  <c r="M113" i="7"/>
  <c r="I112" i="7"/>
  <c r="J112" i="7" s="1"/>
  <c r="K112" i="7" s="1"/>
  <c r="M112" i="7"/>
  <c r="J111" i="7"/>
  <c r="K111" i="7" s="1"/>
  <c r="M111" i="7"/>
  <c r="I110" i="7"/>
  <c r="J110" i="7" s="1"/>
  <c r="K110" i="7" s="1"/>
  <c r="M110" i="7"/>
  <c r="I109" i="7"/>
  <c r="J109" i="7" s="1"/>
  <c r="K109" i="7" s="1"/>
  <c r="M109" i="7"/>
  <c r="I108" i="7"/>
  <c r="J108" i="7" s="1"/>
  <c r="K108" i="7" s="1"/>
  <c r="M108" i="7"/>
  <c r="I107" i="7"/>
  <c r="J107" i="7" s="1"/>
  <c r="K107" i="7" s="1"/>
  <c r="M107" i="7"/>
  <c r="I106" i="7"/>
  <c r="J106" i="7" s="1"/>
  <c r="K106" i="7" s="1"/>
  <c r="M106" i="7"/>
  <c r="I105" i="7"/>
  <c r="J105" i="7" s="1"/>
  <c r="K105" i="7" s="1"/>
  <c r="M105" i="7"/>
  <c r="I104" i="7"/>
  <c r="J104" i="7" s="1"/>
  <c r="K104" i="7" s="1"/>
  <c r="M104" i="7"/>
  <c r="I103" i="7"/>
  <c r="J103" i="7" s="1"/>
  <c r="K103" i="7" s="1"/>
  <c r="M103" i="7"/>
  <c r="I102" i="7"/>
  <c r="J102" i="7" s="1"/>
  <c r="K102" i="7" s="1"/>
  <c r="M102" i="7"/>
  <c r="I101" i="7"/>
  <c r="J101" i="7" s="1"/>
  <c r="K101" i="7" s="1"/>
  <c r="M101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I99" i="7"/>
  <c r="J99" i="7" s="1"/>
  <c r="K99" i="7" s="1"/>
  <c r="M99" i="7"/>
  <c r="I98" i="7"/>
  <c r="J98" i="7" s="1"/>
  <c r="K98" i="7" s="1"/>
  <c r="M98" i="7"/>
  <c r="I97" i="7"/>
  <c r="J97" i="7" s="1"/>
  <c r="K97" i="7" s="1"/>
  <c r="M97" i="7"/>
  <c r="I96" i="7"/>
  <c r="J96" i="7" s="1"/>
  <c r="K96" i="7" s="1"/>
  <c r="M96" i="7"/>
  <c r="I95" i="7"/>
  <c r="J95" i="7" s="1"/>
  <c r="K95" i="7" s="1"/>
  <c r="M95" i="7"/>
  <c r="I94" i="7"/>
  <c r="J94" i="7" s="1"/>
  <c r="K94" i="7" s="1"/>
  <c r="M94" i="7"/>
  <c r="I93" i="7"/>
  <c r="J93" i="7" s="1"/>
  <c r="K93" i="7" s="1"/>
  <c r="M93" i="7"/>
  <c r="I92" i="7"/>
  <c r="J92" i="7" s="1"/>
  <c r="K92" i="7" s="1"/>
  <c r="M92" i="7"/>
  <c r="I91" i="7"/>
  <c r="J91" i="7" s="1"/>
  <c r="K91" i="7" s="1"/>
  <c r="M91" i="7"/>
  <c r="I90" i="7"/>
  <c r="J90" i="7" s="1"/>
  <c r="K90" i="7" s="1"/>
  <c r="M90" i="7"/>
  <c r="I89" i="7"/>
  <c r="J89" i="7" s="1"/>
  <c r="K89" i="7" s="1"/>
  <c r="M89" i="7"/>
  <c r="I88" i="7"/>
  <c r="J88" i="7" s="1"/>
  <c r="K88" i="7" s="1"/>
  <c r="M88" i="7"/>
  <c r="I87" i="7"/>
  <c r="J87" i="7" s="1"/>
  <c r="K87" i="7" s="1"/>
  <c r="M87" i="7"/>
  <c r="I86" i="7"/>
  <c r="J86" i="7" s="1"/>
  <c r="K86" i="7" s="1"/>
  <c r="M86" i="7"/>
  <c r="I85" i="7"/>
  <c r="J85" i="7" s="1"/>
  <c r="K85" i="7" s="1"/>
  <c r="M85" i="7"/>
  <c r="I84" i="7"/>
  <c r="J84" i="7" s="1"/>
  <c r="K84" i="7" s="1"/>
  <c r="M84" i="7"/>
  <c r="I83" i="7"/>
  <c r="J83" i="7" s="1"/>
  <c r="K83" i="7" s="1"/>
  <c r="M83" i="7"/>
  <c r="I82" i="7"/>
  <c r="J82" i="7" s="1"/>
  <c r="K82" i="7" s="1"/>
  <c r="M82" i="7"/>
  <c r="I81" i="7"/>
  <c r="J81" i="7" s="1"/>
  <c r="K81" i="7" s="1"/>
  <c r="M81" i="7"/>
  <c r="I80" i="7"/>
  <c r="J80" i="7" s="1"/>
  <c r="K80" i="7" s="1"/>
  <c r="M80" i="7"/>
  <c r="I79" i="7"/>
  <c r="J79" i="7" s="1"/>
  <c r="K79" i="7" s="1"/>
  <c r="M79" i="7"/>
  <c r="I78" i="7"/>
  <c r="J78" i="7" s="1"/>
  <c r="K78" i="7" s="1"/>
  <c r="M78" i="7"/>
  <c r="I77" i="7"/>
  <c r="J77" i="7" s="1"/>
  <c r="K77" i="7" s="1"/>
  <c r="M77" i="7"/>
  <c r="F67" i="7"/>
  <c r="I67" i="7" s="1"/>
  <c r="J67" i="7" s="1"/>
  <c r="K67" i="7" s="1"/>
  <c r="F68" i="7"/>
  <c r="I68" i="7" s="1"/>
  <c r="J68" i="7" s="1"/>
  <c r="K68" i="7" s="1"/>
  <c r="F69" i="7"/>
  <c r="I69" i="7" s="1"/>
  <c r="J69" i="7" s="1"/>
  <c r="K69" i="7" s="1"/>
  <c r="F70" i="7"/>
  <c r="I70" i="7" s="1"/>
  <c r="J70" i="7" s="1"/>
  <c r="K70" i="7" s="1"/>
  <c r="F71" i="7"/>
  <c r="I71" i="7" s="1"/>
  <c r="J71" i="7" s="1"/>
  <c r="K71" i="7" s="1"/>
  <c r="F72" i="7"/>
  <c r="I72" i="7" s="1"/>
  <c r="J72" i="7" s="1"/>
  <c r="K72" i="7" s="1"/>
  <c r="F73" i="7"/>
  <c r="I73" i="7" s="1"/>
  <c r="J73" i="7" s="1"/>
  <c r="K73" i="7" s="1"/>
  <c r="F74" i="7"/>
  <c r="I74" i="7" s="1"/>
  <c r="J74" i="7" s="1"/>
  <c r="K74" i="7" s="1"/>
  <c r="F75" i="7"/>
  <c r="I75" i="7" s="1"/>
  <c r="J75" i="7" s="1"/>
  <c r="K75" i="7" s="1"/>
  <c r="F76" i="7"/>
  <c r="I76" i="7" s="1"/>
  <c r="J76" i="7" s="1"/>
  <c r="K76" i="7" s="1"/>
  <c r="F66" i="7"/>
  <c r="I66" i="7" s="1"/>
  <c r="J66" i="7" s="1"/>
  <c r="K66" i="7" s="1"/>
  <c r="F65" i="7"/>
  <c r="I65" i="7" s="1"/>
  <c r="J65" i="7" s="1"/>
  <c r="K65" i="7" s="1"/>
  <c r="F64" i="7"/>
  <c r="I64" i="7" s="1"/>
  <c r="J64" i="7" s="1"/>
  <c r="K64" i="7" s="1"/>
  <c r="F63" i="7"/>
  <c r="I63" i="7" s="1"/>
  <c r="J63" i="7" s="1"/>
  <c r="K63" i="7" s="1"/>
  <c r="L76" i="7" l="1"/>
  <c r="L75" i="7"/>
  <c r="L74" i="7"/>
  <c r="L73" i="7"/>
  <c r="L72" i="7"/>
  <c r="L71" i="7"/>
  <c r="L70" i="7"/>
  <c r="L69" i="7"/>
  <c r="L68" i="7"/>
  <c r="L67" i="7"/>
  <c r="L66" i="7"/>
  <c r="M76" i="7"/>
  <c r="M75" i="7"/>
  <c r="M74" i="7"/>
  <c r="M73" i="7"/>
  <c r="M72" i="7"/>
  <c r="M71" i="7"/>
  <c r="M70" i="7"/>
  <c r="M69" i="7"/>
  <c r="M68" i="7"/>
  <c r="M67" i="7"/>
  <c r="L63" i="7"/>
  <c r="L64" i="7"/>
  <c r="L65" i="7"/>
  <c r="M63" i="7"/>
  <c r="M64" i="7"/>
  <c r="M65" i="7"/>
  <c r="M66" i="7"/>
  <c r="F50" i="7" l="1"/>
  <c r="I50" i="7" s="1"/>
  <c r="J50" i="7" s="1"/>
  <c r="K50" i="7" s="1"/>
  <c r="F51" i="7"/>
  <c r="I51" i="7" s="1"/>
  <c r="J51" i="7" s="1"/>
  <c r="K51" i="7" s="1"/>
  <c r="F52" i="7"/>
  <c r="I52" i="7" s="1"/>
  <c r="J52" i="7" s="1"/>
  <c r="K52" i="7" s="1"/>
  <c r="F53" i="7"/>
  <c r="I53" i="7" s="1"/>
  <c r="J53" i="7" s="1"/>
  <c r="K53" i="7" s="1"/>
  <c r="F54" i="7"/>
  <c r="I54" i="7" s="1"/>
  <c r="J54" i="7" s="1"/>
  <c r="K54" i="7" s="1"/>
  <c r="F55" i="7"/>
  <c r="I55" i="7" s="1"/>
  <c r="J55" i="7" s="1"/>
  <c r="K55" i="7" s="1"/>
  <c r="F56" i="7"/>
  <c r="I56" i="7" s="1"/>
  <c r="J56" i="7" s="1"/>
  <c r="K56" i="7" s="1"/>
  <c r="F57" i="7"/>
  <c r="I57" i="7" s="1"/>
  <c r="J57" i="7" s="1"/>
  <c r="K57" i="7" s="1"/>
  <c r="F58" i="7"/>
  <c r="I58" i="7" s="1"/>
  <c r="J58" i="7" s="1"/>
  <c r="K58" i="7" s="1"/>
  <c r="F59" i="7"/>
  <c r="I59" i="7" s="1"/>
  <c r="J59" i="7" s="1"/>
  <c r="K59" i="7" s="1"/>
  <c r="F60" i="7"/>
  <c r="I60" i="7" s="1"/>
  <c r="J60" i="7" s="1"/>
  <c r="K60" i="7" s="1"/>
  <c r="F61" i="7"/>
  <c r="I61" i="7" s="1"/>
  <c r="J61" i="7" s="1"/>
  <c r="K61" i="7" s="1"/>
  <c r="F62" i="7"/>
  <c r="I62" i="7" s="1"/>
  <c r="J62" i="7" s="1"/>
  <c r="K62" i="7" s="1"/>
  <c r="L62" i="7" l="1"/>
  <c r="L61" i="7"/>
  <c r="L60" i="7"/>
  <c r="L59" i="7"/>
  <c r="L58" i="7"/>
  <c r="L57" i="7"/>
  <c r="L56" i="7"/>
  <c r="L55" i="7"/>
  <c r="L54" i="7"/>
  <c r="L53" i="7"/>
  <c r="L52" i="7"/>
  <c r="L51" i="7"/>
  <c r="L50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F32" i="4"/>
  <c r="L32" i="4" s="1"/>
  <c r="F33" i="4"/>
  <c r="L33" i="4" s="1"/>
  <c r="F34" i="4"/>
  <c r="L34" i="4" s="1"/>
  <c r="F35" i="4"/>
  <c r="L35" i="4" s="1"/>
  <c r="F36" i="4"/>
  <c r="L36" i="4" s="1"/>
  <c r="F37" i="4"/>
  <c r="L37" i="4" s="1"/>
  <c r="F38" i="4"/>
  <c r="L38" i="4" s="1"/>
  <c r="F39" i="4"/>
  <c r="L39" i="4" s="1"/>
  <c r="F40" i="4"/>
  <c r="L40" i="4" s="1"/>
  <c r="F41" i="4"/>
  <c r="L41" i="4" s="1"/>
  <c r="F42" i="4"/>
  <c r="L42" i="4" s="1"/>
  <c r="F43" i="4"/>
  <c r="L43" i="4" s="1"/>
  <c r="F44" i="4"/>
  <c r="L44" i="4" s="1"/>
  <c r="F45" i="4"/>
  <c r="L45" i="4" s="1"/>
  <c r="F46" i="4"/>
  <c r="F47" i="4"/>
  <c r="F48" i="4"/>
  <c r="F49" i="4"/>
  <c r="F50" i="4"/>
  <c r="L50" i="4" s="1"/>
  <c r="F51" i="4"/>
  <c r="L51" i="4" s="1"/>
  <c r="F52" i="4"/>
  <c r="L52" i="4" s="1"/>
  <c r="F53" i="4"/>
  <c r="L53" i="4" s="1"/>
  <c r="F54" i="4"/>
  <c r="L54" i="4" s="1"/>
  <c r="F55" i="4"/>
  <c r="L55" i="4" s="1"/>
  <c r="F56" i="4"/>
  <c r="L56" i="4" s="1"/>
  <c r="F57" i="4"/>
  <c r="L57" i="4" s="1"/>
  <c r="F58" i="4"/>
  <c r="L58" i="4" s="1"/>
  <c r="F59" i="4"/>
  <c r="F60" i="4"/>
  <c r="F61" i="4"/>
  <c r="F62" i="4"/>
  <c r="F63" i="4"/>
  <c r="F64" i="4"/>
  <c r="F65" i="4"/>
  <c r="F66" i="4"/>
  <c r="F67" i="4"/>
  <c r="I67" i="4" s="1"/>
  <c r="J67" i="4" s="1"/>
  <c r="K67" i="4" s="1"/>
  <c r="F68" i="4"/>
  <c r="L68" i="4" s="1"/>
  <c r="F69" i="4"/>
  <c r="L69" i="4" s="1"/>
  <c r="F70" i="4"/>
  <c r="L70" i="4" s="1"/>
  <c r="F71" i="4"/>
  <c r="L71" i="4" s="1"/>
  <c r="F72" i="4"/>
  <c r="L72" i="4" s="1"/>
  <c r="F73" i="4"/>
  <c r="L73" i="4" s="1"/>
  <c r="F74" i="4"/>
  <c r="L74" i="4" s="1"/>
  <c r="F75" i="4"/>
  <c r="L75" i="4" s="1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I104" i="4" s="1"/>
  <c r="J104" i="4" s="1"/>
  <c r="K104" i="4" s="1"/>
  <c r="F105" i="4"/>
  <c r="I105" i="4" s="1"/>
  <c r="J105" i="4" s="1"/>
  <c r="K105" i="4" s="1"/>
  <c r="F106" i="4"/>
  <c r="I106" i="4" s="1"/>
  <c r="J106" i="4" s="1"/>
  <c r="K106" i="4" s="1"/>
  <c r="F107" i="4"/>
  <c r="I107" i="4" s="1"/>
  <c r="J107" i="4" s="1"/>
  <c r="K107" i="4" s="1"/>
  <c r="F108" i="4"/>
  <c r="I108" i="4" s="1"/>
  <c r="J108" i="4" s="1"/>
  <c r="K108" i="4" s="1"/>
  <c r="F109" i="4"/>
  <c r="I109" i="4" s="1"/>
  <c r="J109" i="4" s="1"/>
  <c r="K109" i="4" s="1"/>
  <c r="F110" i="4"/>
  <c r="I110" i="4" s="1"/>
  <c r="J110" i="4" s="1"/>
  <c r="K110" i="4" s="1"/>
  <c r="F111" i="4"/>
  <c r="I111" i="4" s="1"/>
  <c r="J111" i="4" s="1"/>
  <c r="K111" i="4" s="1"/>
  <c r="F112" i="4"/>
  <c r="I112" i="4" s="1"/>
  <c r="J112" i="4" s="1"/>
  <c r="K112" i="4" s="1"/>
  <c r="F113" i="4"/>
  <c r="I113" i="4" s="1"/>
  <c r="J113" i="4" s="1"/>
  <c r="K113" i="4" s="1"/>
  <c r="F114" i="4"/>
  <c r="I114" i="4" s="1"/>
  <c r="J114" i="4" s="1"/>
  <c r="K114" i="4" s="1"/>
  <c r="F115" i="4"/>
  <c r="I115" i="4" s="1"/>
  <c r="J115" i="4" s="1"/>
  <c r="K115" i="4" s="1"/>
  <c r="F116" i="4"/>
  <c r="I116" i="4" s="1"/>
  <c r="J116" i="4" s="1"/>
  <c r="K116" i="4" s="1"/>
  <c r="F117" i="4"/>
  <c r="I117" i="4" s="1"/>
  <c r="J117" i="4" s="1"/>
  <c r="K117" i="4" s="1"/>
  <c r="F118" i="4"/>
  <c r="I118" i="4" s="1"/>
  <c r="J118" i="4" s="1"/>
  <c r="K118" i="4" s="1"/>
  <c r="F119" i="4"/>
  <c r="I119" i="4" s="1"/>
  <c r="J119" i="4" s="1"/>
  <c r="K119" i="4" s="1"/>
  <c r="I66" i="4" l="1"/>
  <c r="J66" i="4" s="1"/>
  <c r="K66" i="4" s="1"/>
  <c r="L66" i="4"/>
  <c r="I64" i="4"/>
  <c r="J64" i="4" s="1"/>
  <c r="K64" i="4" s="1"/>
  <c r="L64" i="4"/>
  <c r="I61" i="4"/>
  <c r="J61" i="4" s="1"/>
  <c r="K61" i="4" s="1"/>
  <c r="L61" i="4"/>
  <c r="I49" i="4"/>
  <c r="J49" i="4" s="1"/>
  <c r="K49" i="4" s="1"/>
  <c r="M49" i="4"/>
  <c r="I48" i="4"/>
  <c r="J48" i="4" s="1"/>
  <c r="K48" i="4" s="1"/>
  <c r="M48" i="4"/>
  <c r="I47" i="4"/>
  <c r="J47" i="4" s="1"/>
  <c r="K47" i="4" s="1"/>
  <c r="M47" i="4"/>
  <c r="I46" i="4"/>
  <c r="J46" i="4" s="1"/>
  <c r="K46" i="4" s="1"/>
  <c r="M46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67" i="4"/>
  <c r="I65" i="4"/>
  <c r="J65" i="4" s="1"/>
  <c r="K65" i="4" s="1"/>
  <c r="L65" i="4"/>
  <c r="I63" i="4"/>
  <c r="J63" i="4" s="1"/>
  <c r="K63" i="4" s="1"/>
  <c r="L63" i="4"/>
  <c r="I62" i="4"/>
  <c r="J62" i="4" s="1"/>
  <c r="K62" i="4" s="1"/>
  <c r="L62" i="4"/>
  <c r="I60" i="4"/>
  <c r="J60" i="4" s="1"/>
  <c r="K60" i="4" s="1"/>
  <c r="L60" i="4"/>
  <c r="I59" i="4"/>
  <c r="J59" i="4" s="1"/>
  <c r="K59" i="4" s="1"/>
  <c r="L59" i="4"/>
  <c r="L49" i="4"/>
  <c r="L48" i="4"/>
  <c r="L47" i="4"/>
  <c r="L46" i="4"/>
  <c r="I45" i="4"/>
  <c r="J45" i="4" s="1"/>
  <c r="K45" i="4" s="1"/>
  <c r="M45" i="4"/>
  <c r="I44" i="4"/>
  <c r="J44" i="4" s="1"/>
  <c r="K44" i="4" s="1"/>
  <c r="M44" i="4"/>
  <c r="I43" i="4"/>
  <c r="J43" i="4" s="1"/>
  <c r="K43" i="4" s="1"/>
  <c r="M43" i="4"/>
  <c r="I42" i="4"/>
  <c r="J42" i="4" s="1"/>
  <c r="K42" i="4" s="1"/>
  <c r="M42" i="4"/>
  <c r="I41" i="4"/>
  <c r="J41" i="4" s="1"/>
  <c r="K41" i="4" s="1"/>
  <c r="M41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I103" i="4"/>
  <c r="J103" i="4" s="1"/>
  <c r="K103" i="4" s="1"/>
  <c r="M103" i="4"/>
  <c r="I102" i="4"/>
  <c r="J102" i="4" s="1"/>
  <c r="K102" i="4" s="1"/>
  <c r="M102" i="4"/>
  <c r="I101" i="4"/>
  <c r="J101" i="4" s="1"/>
  <c r="K101" i="4" s="1"/>
  <c r="M101" i="4"/>
  <c r="I100" i="4"/>
  <c r="J100" i="4" s="1"/>
  <c r="K100" i="4" s="1"/>
  <c r="M100" i="4"/>
  <c r="I99" i="4"/>
  <c r="J99" i="4" s="1"/>
  <c r="K99" i="4" s="1"/>
  <c r="M99" i="4"/>
  <c r="I98" i="4"/>
  <c r="J98" i="4" s="1"/>
  <c r="K98" i="4" s="1"/>
  <c r="M98" i="4"/>
  <c r="I97" i="4"/>
  <c r="J97" i="4" s="1"/>
  <c r="K97" i="4" s="1"/>
  <c r="M97" i="4"/>
  <c r="I96" i="4"/>
  <c r="J96" i="4" s="1"/>
  <c r="K96" i="4" s="1"/>
  <c r="M96" i="4"/>
  <c r="I95" i="4"/>
  <c r="J95" i="4" s="1"/>
  <c r="K95" i="4" s="1"/>
  <c r="M95" i="4"/>
  <c r="I94" i="4"/>
  <c r="J94" i="4" s="1"/>
  <c r="K94" i="4" s="1"/>
  <c r="M94" i="4"/>
  <c r="I93" i="4"/>
  <c r="J93" i="4" s="1"/>
  <c r="K93" i="4" s="1"/>
  <c r="M93" i="4"/>
  <c r="I92" i="4"/>
  <c r="J92" i="4" s="1"/>
  <c r="K92" i="4" s="1"/>
  <c r="M92" i="4"/>
  <c r="I91" i="4"/>
  <c r="J91" i="4" s="1"/>
  <c r="K91" i="4" s="1"/>
  <c r="M91" i="4"/>
  <c r="I90" i="4"/>
  <c r="J90" i="4" s="1"/>
  <c r="K90" i="4" s="1"/>
  <c r="M90" i="4"/>
  <c r="I89" i="4"/>
  <c r="J89" i="4" s="1"/>
  <c r="K89" i="4" s="1"/>
  <c r="M89" i="4"/>
  <c r="I88" i="4"/>
  <c r="J88" i="4" s="1"/>
  <c r="K88" i="4" s="1"/>
  <c r="M88" i="4"/>
  <c r="I87" i="4"/>
  <c r="J87" i="4" s="1"/>
  <c r="K87" i="4" s="1"/>
  <c r="M87" i="4"/>
  <c r="I86" i="4"/>
  <c r="J86" i="4" s="1"/>
  <c r="K86" i="4" s="1"/>
  <c r="M86" i="4"/>
  <c r="I85" i="4"/>
  <c r="J85" i="4" s="1"/>
  <c r="K85" i="4" s="1"/>
  <c r="M85" i="4"/>
  <c r="I84" i="4"/>
  <c r="J84" i="4" s="1"/>
  <c r="K84" i="4" s="1"/>
  <c r="M84" i="4"/>
  <c r="I83" i="4"/>
  <c r="J83" i="4" s="1"/>
  <c r="K83" i="4" s="1"/>
  <c r="M83" i="4"/>
  <c r="I82" i="4"/>
  <c r="J82" i="4" s="1"/>
  <c r="K82" i="4" s="1"/>
  <c r="M82" i="4"/>
  <c r="I81" i="4"/>
  <c r="J81" i="4" s="1"/>
  <c r="K81" i="4" s="1"/>
  <c r="M81" i="4"/>
  <c r="I80" i="4"/>
  <c r="J80" i="4" s="1"/>
  <c r="K80" i="4" s="1"/>
  <c r="M80" i="4"/>
  <c r="I79" i="4"/>
  <c r="J79" i="4" s="1"/>
  <c r="K79" i="4" s="1"/>
  <c r="M79" i="4"/>
  <c r="I78" i="4"/>
  <c r="J78" i="4" s="1"/>
  <c r="K78" i="4" s="1"/>
  <c r="M78" i="4"/>
  <c r="I77" i="4"/>
  <c r="J77" i="4" s="1"/>
  <c r="K77" i="4" s="1"/>
  <c r="M77" i="4"/>
  <c r="I76" i="4"/>
  <c r="J76" i="4" s="1"/>
  <c r="K76" i="4" s="1"/>
  <c r="M76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I40" i="4"/>
  <c r="J40" i="4" s="1"/>
  <c r="K40" i="4" s="1"/>
  <c r="M40" i="4"/>
  <c r="I39" i="4"/>
  <c r="J39" i="4" s="1"/>
  <c r="K39" i="4" s="1"/>
  <c r="M39" i="4"/>
  <c r="I38" i="4"/>
  <c r="J38" i="4" s="1"/>
  <c r="K38" i="4" s="1"/>
  <c r="M38" i="4"/>
  <c r="I37" i="4"/>
  <c r="J37" i="4" s="1"/>
  <c r="K37" i="4" s="1"/>
  <c r="M37" i="4"/>
  <c r="I36" i="4"/>
  <c r="J36" i="4" s="1"/>
  <c r="K36" i="4" s="1"/>
  <c r="M36" i="4"/>
  <c r="I35" i="4"/>
  <c r="J35" i="4" s="1"/>
  <c r="K35" i="4" s="1"/>
  <c r="M35" i="4"/>
  <c r="I34" i="4"/>
  <c r="J34" i="4" s="1"/>
  <c r="K34" i="4" s="1"/>
  <c r="M34" i="4"/>
  <c r="I33" i="4"/>
  <c r="J33" i="4" s="1"/>
  <c r="K33" i="4" s="1"/>
  <c r="M33" i="4"/>
  <c r="I32" i="4"/>
  <c r="J32" i="4" s="1"/>
  <c r="K32" i="4" s="1"/>
  <c r="M32" i="4"/>
  <c r="I71" i="4"/>
  <c r="J71" i="4" s="1"/>
  <c r="K71" i="4" s="1"/>
  <c r="M71" i="4"/>
  <c r="I69" i="4"/>
  <c r="J69" i="4" s="1"/>
  <c r="K69" i="4" s="1"/>
  <c r="M69" i="4"/>
  <c r="I73" i="4"/>
  <c r="J73" i="4" s="1"/>
  <c r="K73" i="4" s="1"/>
  <c r="M73" i="4"/>
  <c r="I75" i="4"/>
  <c r="J75" i="4" s="1"/>
  <c r="K75" i="4" s="1"/>
  <c r="M75" i="4"/>
  <c r="I74" i="4"/>
  <c r="J74" i="4" s="1"/>
  <c r="K74" i="4" s="1"/>
  <c r="M74" i="4"/>
  <c r="I72" i="4"/>
  <c r="J72" i="4" s="1"/>
  <c r="K72" i="4" s="1"/>
  <c r="M72" i="4"/>
  <c r="I70" i="4"/>
  <c r="J70" i="4" s="1"/>
  <c r="K70" i="4" s="1"/>
  <c r="M70" i="4"/>
  <c r="I68" i="4"/>
  <c r="J68" i="4" s="1"/>
  <c r="K68" i="4" s="1"/>
  <c r="M68" i="4"/>
  <c r="I58" i="4"/>
  <c r="J58" i="4" s="1"/>
  <c r="K58" i="4" s="1"/>
  <c r="M58" i="4"/>
  <c r="I57" i="4"/>
  <c r="J57" i="4" s="1"/>
  <c r="K57" i="4" s="1"/>
  <c r="M57" i="4"/>
  <c r="I55" i="4"/>
  <c r="J55" i="4" s="1"/>
  <c r="K55" i="4" s="1"/>
  <c r="M55" i="4"/>
  <c r="I53" i="4"/>
  <c r="J53" i="4" s="1"/>
  <c r="K53" i="4" s="1"/>
  <c r="M53" i="4"/>
  <c r="I50" i="4"/>
  <c r="J50" i="4" s="1"/>
  <c r="K50" i="4" s="1"/>
  <c r="M50" i="4"/>
  <c r="M67" i="4"/>
  <c r="M66" i="4"/>
  <c r="M65" i="4"/>
  <c r="M64" i="4"/>
  <c r="M63" i="4"/>
  <c r="M62" i="4"/>
  <c r="M61" i="4"/>
  <c r="M60" i="4"/>
  <c r="M59" i="4"/>
  <c r="I56" i="4"/>
  <c r="J56" i="4" s="1"/>
  <c r="K56" i="4" s="1"/>
  <c r="M56" i="4"/>
  <c r="I54" i="4"/>
  <c r="J54" i="4" s="1"/>
  <c r="K54" i="4" s="1"/>
  <c r="M54" i="4"/>
  <c r="I52" i="4"/>
  <c r="J52" i="4" s="1"/>
  <c r="K52" i="4" s="1"/>
  <c r="M52" i="4"/>
  <c r="I51" i="4"/>
  <c r="J51" i="4" s="1"/>
  <c r="K51" i="4" s="1"/>
  <c r="M51" i="4"/>
  <c r="F36" i="7"/>
  <c r="L36" i="7" s="1"/>
  <c r="F37" i="7"/>
  <c r="L37" i="7" s="1"/>
  <c r="F38" i="7"/>
  <c r="L38" i="7" s="1"/>
  <c r="F39" i="7"/>
  <c r="L39" i="7" s="1"/>
  <c r="F40" i="7"/>
  <c r="L40" i="7" s="1"/>
  <c r="F41" i="7"/>
  <c r="L41" i="7" s="1"/>
  <c r="F42" i="7"/>
  <c r="L42" i="7" s="1"/>
  <c r="F43" i="7"/>
  <c r="L43" i="7" s="1"/>
  <c r="F44" i="7"/>
  <c r="L44" i="7" s="1"/>
  <c r="F45" i="7"/>
  <c r="L45" i="7" s="1"/>
  <c r="F46" i="7"/>
  <c r="L46" i="7" s="1"/>
  <c r="F47" i="7"/>
  <c r="I47" i="7" s="1"/>
  <c r="J47" i="7" s="1"/>
  <c r="K47" i="7" s="1"/>
  <c r="F48" i="7"/>
  <c r="I48" i="7" s="1"/>
  <c r="J48" i="7" s="1"/>
  <c r="K48" i="7" s="1"/>
  <c r="F49" i="7"/>
  <c r="I49" i="7" s="1"/>
  <c r="J49" i="7" s="1"/>
  <c r="K49" i="7" s="1"/>
  <c r="L47" i="7" l="1"/>
  <c r="L49" i="7"/>
  <c r="L48" i="7"/>
  <c r="M47" i="7"/>
  <c r="I44" i="7"/>
  <c r="J44" i="7" s="1"/>
  <c r="K44" i="7" s="1"/>
  <c r="M44" i="7"/>
  <c r="I43" i="7"/>
  <c r="J43" i="7" s="1"/>
  <c r="K43" i="7" s="1"/>
  <c r="M43" i="7"/>
  <c r="I41" i="7"/>
  <c r="J41" i="7" s="1"/>
  <c r="K41" i="7" s="1"/>
  <c r="M41" i="7"/>
  <c r="I40" i="7"/>
  <c r="J40" i="7" s="1"/>
  <c r="K40" i="7" s="1"/>
  <c r="M40" i="7"/>
  <c r="I38" i="7"/>
  <c r="J38" i="7" s="1"/>
  <c r="K38" i="7" s="1"/>
  <c r="M38" i="7"/>
  <c r="I37" i="7"/>
  <c r="J37" i="7" s="1"/>
  <c r="K37" i="7" s="1"/>
  <c r="M37" i="7"/>
  <c r="M49" i="7"/>
  <c r="M48" i="7"/>
  <c r="I46" i="7"/>
  <c r="J46" i="7" s="1"/>
  <c r="K46" i="7" s="1"/>
  <c r="M46" i="7"/>
  <c r="I45" i="7"/>
  <c r="J45" i="7" s="1"/>
  <c r="K45" i="7" s="1"/>
  <c r="M45" i="7"/>
  <c r="I42" i="7"/>
  <c r="J42" i="7" s="1"/>
  <c r="K42" i="7" s="1"/>
  <c r="M42" i="7"/>
  <c r="I39" i="7"/>
  <c r="J39" i="7" s="1"/>
  <c r="K39" i="7" s="1"/>
  <c r="M39" i="7"/>
  <c r="I36" i="7"/>
  <c r="J36" i="7" s="1"/>
  <c r="K36" i="7" s="1"/>
  <c r="M36" i="7"/>
  <c r="F26" i="7"/>
  <c r="F27" i="7"/>
  <c r="F28" i="7"/>
  <c r="F29" i="7"/>
  <c r="F30" i="7"/>
  <c r="F31" i="7"/>
  <c r="F32" i="7"/>
  <c r="F33" i="7"/>
  <c r="F34" i="7"/>
  <c r="F35" i="7"/>
  <c r="I35" i="7" l="1"/>
  <c r="J35" i="7" s="1"/>
  <c r="K35" i="7" s="1"/>
  <c r="M35" i="7"/>
  <c r="I34" i="7"/>
  <c r="J34" i="7" s="1"/>
  <c r="K34" i="7" s="1"/>
  <c r="M34" i="7"/>
  <c r="J32" i="7"/>
  <c r="K32" i="7" s="1"/>
  <c r="M32" i="7"/>
  <c r="L32" i="7"/>
  <c r="I31" i="7"/>
  <c r="J31" i="7" s="1"/>
  <c r="K31" i="7" s="1"/>
  <c r="M31" i="7"/>
  <c r="L31" i="7"/>
  <c r="I28" i="7"/>
  <c r="J28" i="7" s="1"/>
  <c r="K28" i="7" s="1"/>
  <c r="M28" i="7"/>
  <c r="L28" i="7"/>
  <c r="I26" i="7"/>
  <c r="J26" i="7" s="1"/>
  <c r="K26" i="7" s="1"/>
  <c r="M26" i="7"/>
  <c r="L26" i="7"/>
  <c r="L35" i="7"/>
  <c r="L34" i="7"/>
  <c r="I33" i="7"/>
  <c r="J33" i="7" s="1"/>
  <c r="K33" i="7" s="1"/>
  <c r="M33" i="7"/>
  <c r="L33" i="7"/>
  <c r="I30" i="7"/>
  <c r="J30" i="7" s="1"/>
  <c r="K30" i="7" s="1"/>
  <c r="M30" i="7"/>
  <c r="L30" i="7"/>
  <c r="I29" i="7"/>
  <c r="J29" i="7" s="1"/>
  <c r="K29" i="7" s="1"/>
  <c r="M29" i="7"/>
  <c r="L29" i="7"/>
  <c r="I27" i="7"/>
  <c r="J27" i="7" s="1"/>
  <c r="K27" i="7" s="1"/>
  <c r="M27" i="7"/>
  <c r="L27" i="7"/>
  <c r="F13" i="4"/>
  <c r="L13" i="4" s="1"/>
  <c r="F14" i="4"/>
  <c r="L14" i="4" s="1"/>
  <c r="F15" i="4"/>
  <c r="L15" i="4" s="1"/>
  <c r="F16" i="4"/>
  <c r="L16" i="4" s="1"/>
  <c r="F17" i="4"/>
  <c r="F18" i="4"/>
  <c r="F19" i="4"/>
  <c r="F20" i="4"/>
  <c r="F21" i="4"/>
  <c r="F22" i="4"/>
  <c r="L22" i="4" s="1"/>
  <c r="F23" i="4"/>
  <c r="L23" i="4" s="1"/>
  <c r="F24" i="4"/>
  <c r="L24" i="4" s="1"/>
  <c r="F25" i="4"/>
  <c r="L25" i="4" s="1"/>
  <c r="F26" i="4"/>
  <c r="L26" i="4" s="1"/>
  <c r="F27" i="4"/>
  <c r="L27" i="4" s="1"/>
  <c r="F28" i="4"/>
  <c r="L28" i="4" s="1"/>
  <c r="F29" i="4"/>
  <c r="L29" i="4" s="1"/>
  <c r="F30" i="4"/>
  <c r="F31" i="4"/>
  <c r="F211" i="6"/>
  <c r="I211" i="6" s="1"/>
  <c r="J211" i="6" s="1"/>
  <c r="K211" i="6" s="1"/>
  <c r="F212" i="6"/>
  <c r="I212" i="6" s="1"/>
  <c r="J212" i="6" s="1"/>
  <c r="K212" i="6" s="1"/>
  <c r="F213" i="6"/>
  <c r="I213" i="6" s="1"/>
  <c r="J213" i="6" s="1"/>
  <c r="K213" i="6" s="1"/>
  <c r="F214" i="6"/>
  <c r="I214" i="6" s="1"/>
  <c r="J214" i="6" s="1"/>
  <c r="K214" i="6" s="1"/>
  <c r="F215" i="6"/>
  <c r="I215" i="6" s="1"/>
  <c r="J215" i="6" s="1"/>
  <c r="K215" i="6" s="1"/>
  <c r="F216" i="6"/>
  <c r="I216" i="6" s="1"/>
  <c r="J216" i="6" s="1"/>
  <c r="K216" i="6" s="1"/>
  <c r="F217" i="6"/>
  <c r="I217" i="6" s="1"/>
  <c r="J217" i="6" s="1"/>
  <c r="K217" i="6" s="1"/>
  <c r="F218" i="6"/>
  <c r="I218" i="6" s="1"/>
  <c r="J218" i="6" s="1"/>
  <c r="K218" i="6" s="1"/>
  <c r="F219" i="6"/>
  <c r="I219" i="6" s="1"/>
  <c r="J219" i="6" s="1"/>
  <c r="K219" i="6" s="1"/>
  <c r="F220" i="6"/>
  <c r="I220" i="6" s="1"/>
  <c r="J220" i="6" s="1"/>
  <c r="K220" i="6" s="1"/>
  <c r="F221" i="6"/>
  <c r="I221" i="6" s="1"/>
  <c r="J221" i="6" s="1"/>
  <c r="K221" i="6" s="1"/>
  <c r="F222" i="6"/>
  <c r="I222" i="6" s="1"/>
  <c r="J222" i="6" s="1"/>
  <c r="K222" i="6" s="1"/>
  <c r="F223" i="6"/>
  <c r="I223" i="6" s="1"/>
  <c r="J223" i="6" s="1"/>
  <c r="K223" i="6" s="1"/>
  <c r="F224" i="6"/>
  <c r="I224" i="6" s="1"/>
  <c r="J224" i="6" s="1"/>
  <c r="K224" i="6" s="1"/>
  <c r="F225" i="6"/>
  <c r="I225" i="6" s="1"/>
  <c r="J225" i="6" s="1"/>
  <c r="K225" i="6" s="1"/>
  <c r="F226" i="6"/>
  <c r="I226" i="6" s="1"/>
  <c r="J226" i="6" s="1"/>
  <c r="K226" i="6" s="1"/>
  <c r="F227" i="6"/>
  <c r="I227" i="6" s="1"/>
  <c r="J227" i="6" s="1"/>
  <c r="K227" i="6" s="1"/>
  <c r="F228" i="6"/>
  <c r="I228" i="6" s="1"/>
  <c r="J228" i="6" s="1"/>
  <c r="K228" i="6" s="1"/>
  <c r="F229" i="6"/>
  <c r="I229" i="6" s="1"/>
  <c r="J229" i="6" s="1"/>
  <c r="K229" i="6" s="1"/>
  <c r="F230" i="6"/>
  <c r="I230" i="6" s="1"/>
  <c r="J230" i="6" s="1"/>
  <c r="K230" i="6" s="1"/>
  <c r="F231" i="6"/>
  <c r="I231" i="6" s="1"/>
  <c r="J231" i="6" s="1"/>
  <c r="K231" i="6" s="1"/>
  <c r="F232" i="6"/>
  <c r="I232" i="6" s="1"/>
  <c r="J232" i="6" s="1"/>
  <c r="K232" i="6" s="1"/>
  <c r="F233" i="6"/>
  <c r="I233" i="6" s="1"/>
  <c r="J233" i="6" s="1"/>
  <c r="K233" i="6" s="1"/>
  <c r="F2" i="4"/>
  <c r="M2" i="4" s="1"/>
  <c r="F3" i="4"/>
  <c r="I3" i="4" s="1"/>
  <c r="J3" i="4" s="1"/>
  <c r="K3" i="4" s="1"/>
  <c r="F4" i="4"/>
  <c r="F5" i="4"/>
  <c r="L5" i="4" s="1"/>
  <c r="F6" i="4"/>
  <c r="L6" i="4" s="1"/>
  <c r="F7" i="4"/>
  <c r="L7" i="4" s="1"/>
  <c r="F8" i="4"/>
  <c r="L8" i="4" s="1"/>
  <c r="F9" i="4"/>
  <c r="L9" i="4" s="1"/>
  <c r="F10" i="4"/>
  <c r="L10" i="4" s="1"/>
  <c r="F11" i="4"/>
  <c r="F12" i="4"/>
  <c r="I12" i="4" s="1"/>
  <c r="J12" i="4" s="1"/>
  <c r="K12" i="4" s="1"/>
  <c r="M211" i="6" l="1"/>
  <c r="L211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M212" i="6"/>
  <c r="L212" i="6"/>
  <c r="I31" i="4"/>
  <c r="J31" i="4" s="1"/>
  <c r="K31" i="4" s="1"/>
  <c r="L31" i="4"/>
  <c r="I30" i="4"/>
  <c r="J30" i="4" s="1"/>
  <c r="K30" i="4" s="1"/>
  <c r="L30" i="4"/>
  <c r="I21" i="4"/>
  <c r="J21" i="4" s="1"/>
  <c r="K21" i="4" s="1"/>
  <c r="M21" i="4"/>
  <c r="I20" i="4"/>
  <c r="J20" i="4" s="1"/>
  <c r="K20" i="4" s="1"/>
  <c r="M20" i="4"/>
  <c r="I19" i="4"/>
  <c r="J19" i="4" s="1"/>
  <c r="K19" i="4" s="1"/>
  <c r="M19" i="4"/>
  <c r="I18" i="4"/>
  <c r="J18" i="4" s="1"/>
  <c r="K18" i="4" s="1"/>
  <c r="M18" i="4"/>
  <c r="I17" i="4"/>
  <c r="J17" i="4" s="1"/>
  <c r="K17" i="4" s="1"/>
  <c r="M17" i="4"/>
  <c r="L21" i="4"/>
  <c r="L20" i="4"/>
  <c r="L19" i="4"/>
  <c r="L18" i="4"/>
  <c r="L17" i="4"/>
  <c r="I16" i="4"/>
  <c r="J16" i="4" s="1"/>
  <c r="K16" i="4" s="1"/>
  <c r="M16" i="4"/>
  <c r="I15" i="4"/>
  <c r="J15" i="4" s="1"/>
  <c r="K15" i="4" s="1"/>
  <c r="M15" i="4"/>
  <c r="I14" i="4"/>
  <c r="J14" i="4" s="1"/>
  <c r="K14" i="4" s="1"/>
  <c r="M14" i="4"/>
  <c r="I13" i="4"/>
  <c r="J13" i="4" s="1"/>
  <c r="K13" i="4" s="1"/>
  <c r="M13" i="4"/>
  <c r="L12" i="4"/>
  <c r="I29" i="4"/>
  <c r="J29" i="4" s="1"/>
  <c r="K29" i="4" s="1"/>
  <c r="M29" i="4"/>
  <c r="I23" i="4"/>
  <c r="J23" i="4" s="1"/>
  <c r="K23" i="4" s="1"/>
  <c r="M23" i="4"/>
  <c r="I22" i="4"/>
  <c r="J22" i="4" s="1"/>
  <c r="K22" i="4" s="1"/>
  <c r="M22" i="4"/>
  <c r="M31" i="4"/>
  <c r="M30" i="4"/>
  <c r="I28" i="4"/>
  <c r="J28" i="4" s="1"/>
  <c r="K28" i="4" s="1"/>
  <c r="M28" i="4"/>
  <c r="I27" i="4"/>
  <c r="J27" i="4" s="1"/>
  <c r="K27" i="4" s="1"/>
  <c r="M27" i="4"/>
  <c r="I26" i="4"/>
  <c r="J26" i="4" s="1"/>
  <c r="K26" i="4" s="1"/>
  <c r="M26" i="4"/>
  <c r="I25" i="4"/>
  <c r="J25" i="4" s="1"/>
  <c r="K25" i="4" s="1"/>
  <c r="M25" i="4"/>
  <c r="I24" i="4"/>
  <c r="J24" i="4" s="1"/>
  <c r="K24" i="4" s="1"/>
  <c r="M24" i="4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12" i="4"/>
  <c r="L3" i="4"/>
  <c r="M3" i="4"/>
  <c r="I11" i="4"/>
  <c r="J11" i="4" s="1"/>
  <c r="K11" i="4" s="1"/>
  <c r="M11" i="4"/>
  <c r="I4" i="4"/>
  <c r="J4" i="4" s="1"/>
  <c r="K4" i="4" s="1"/>
  <c r="M4" i="4"/>
  <c r="L11" i="4"/>
  <c r="L4" i="4"/>
  <c r="I9" i="4"/>
  <c r="J9" i="4" s="1"/>
  <c r="K9" i="4" s="1"/>
  <c r="M9" i="4"/>
  <c r="I5" i="4"/>
  <c r="J5" i="4" s="1"/>
  <c r="K5" i="4" s="1"/>
  <c r="M5" i="4"/>
  <c r="I10" i="4"/>
  <c r="J10" i="4" s="1"/>
  <c r="K10" i="4" s="1"/>
  <c r="M10" i="4"/>
  <c r="I8" i="4"/>
  <c r="J8" i="4" s="1"/>
  <c r="K8" i="4" s="1"/>
  <c r="M8" i="4"/>
  <c r="I7" i="4"/>
  <c r="J7" i="4" s="1"/>
  <c r="K7" i="4" s="1"/>
  <c r="M7" i="4"/>
  <c r="I6" i="4"/>
  <c r="J6" i="4" s="1"/>
  <c r="K6" i="4" s="1"/>
  <c r="M6" i="4"/>
  <c r="I2" i="4"/>
  <c r="J2" i="4" s="1"/>
  <c r="K2" i="4" s="1"/>
  <c r="L2" i="4"/>
  <c r="F12" i="7"/>
  <c r="L12" i="7" s="1"/>
  <c r="F13" i="7"/>
  <c r="L13" i="7" s="1"/>
  <c r="F14" i="7"/>
  <c r="L14" i="7" s="1"/>
  <c r="F15" i="7"/>
  <c r="L15" i="7" s="1"/>
  <c r="F16" i="7"/>
  <c r="L16" i="7" s="1"/>
  <c r="F17" i="7"/>
  <c r="F18" i="7"/>
  <c r="F19" i="7"/>
  <c r="F20" i="7"/>
  <c r="F21" i="7"/>
  <c r="I21" i="7" s="1"/>
  <c r="J21" i="7" s="1"/>
  <c r="K21" i="7" s="1"/>
  <c r="F22" i="7"/>
  <c r="I22" i="7" s="1"/>
  <c r="J22" i="7" s="1"/>
  <c r="K22" i="7" s="1"/>
  <c r="F23" i="7"/>
  <c r="I23" i="7" s="1"/>
  <c r="J23" i="7" s="1"/>
  <c r="K23" i="7" s="1"/>
  <c r="F24" i="7"/>
  <c r="F25" i="7"/>
  <c r="I25" i="7" s="1"/>
  <c r="J25" i="7" s="1"/>
  <c r="K25" i="7" s="1"/>
  <c r="I24" i="7" l="1"/>
  <c r="J24" i="7" s="1"/>
  <c r="K24" i="7" s="1"/>
  <c r="L21" i="7"/>
  <c r="L25" i="7"/>
  <c r="L24" i="7"/>
  <c r="L23" i="7"/>
  <c r="L22" i="7"/>
  <c r="M21" i="7"/>
  <c r="I20" i="7"/>
  <c r="J20" i="7" s="1"/>
  <c r="K20" i="7" s="1"/>
  <c r="M20" i="7"/>
  <c r="I19" i="7"/>
  <c r="J19" i="7" s="1"/>
  <c r="K19" i="7" s="1"/>
  <c r="M19" i="7"/>
  <c r="I18" i="7"/>
  <c r="J18" i="7" s="1"/>
  <c r="K18" i="7" s="1"/>
  <c r="M18" i="7"/>
  <c r="I17" i="7"/>
  <c r="J17" i="7" s="1"/>
  <c r="K17" i="7" s="1"/>
  <c r="M17" i="7"/>
  <c r="L20" i="7"/>
  <c r="L19" i="7"/>
  <c r="L18" i="7"/>
  <c r="L17" i="7"/>
  <c r="I16" i="7"/>
  <c r="J16" i="7" s="1"/>
  <c r="K16" i="7" s="1"/>
  <c r="M16" i="7"/>
  <c r="I15" i="7"/>
  <c r="J15" i="7" s="1"/>
  <c r="K15" i="7" s="1"/>
  <c r="M15" i="7"/>
  <c r="I14" i="7"/>
  <c r="J14" i="7" s="1"/>
  <c r="K14" i="7" s="1"/>
  <c r="M14" i="7"/>
  <c r="I13" i="7"/>
  <c r="J13" i="7" s="1"/>
  <c r="K13" i="7" s="1"/>
  <c r="M13" i="7"/>
  <c r="I12" i="7"/>
  <c r="J12" i="7" s="1"/>
  <c r="K12" i="7" s="1"/>
  <c r="M12" i="7"/>
  <c r="M25" i="7"/>
  <c r="M24" i="7"/>
  <c r="M23" i="7"/>
  <c r="M22" i="7"/>
  <c r="F292" i="5" l="1"/>
  <c r="M292" i="5" s="1"/>
  <c r="I292" i="5"/>
  <c r="J292" i="5" s="1"/>
  <c r="K292" i="5" s="1"/>
  <c r="L292" i="5"/>
  <c r="F293" i="5"/>
  <c r="I293" i="5" s="1"/>
  <c r="J293" i="5" s="1"/>
  <c r="K293" i="5" s="1"/>
  <c r="F294" i="5"/>
  <c r="I294" i="5" s="1"/>
  <c r="J294" i="5" s="1"/>
  <c r="K294" i="5" s="1"/>
  <c r="F295" i="5"/>
  <c r="L295" i="5" s="1"/>
  <c r="F296" i="5"/>
  <c r="M296" i="5" s="1"/>
  <c r="L296" i="5"/>
  <c r="F297" i="5"/>
  <c r="I297" i="5" s="1"/>
  <c r="J297" i="5" s="1"/>
  <c r="K297" i="5" s="1"/>
  <c r="L297" i="5"/>
  <c r="F298" i="5"/>
  <c r="I298" i="5" s="1"/>
  <c r="J298" i="5" s="1"/>
  <c r="K298" i="5" s="1"/>
  <c r="F299" i="5"/>
  <c r="L299" i="5" s="1"/>
  <c r="F300" i="5"/>
  <c r="M300" i="5" s="1"/>
  <c r="I300" i="5"/>
  <c r="J300" i="5" s="1"/>
  <c r="K300" i="5" s="1"/>
  <c r="L300" i="5"/>
  <c r="F301" i="5"/>
  <c r="I301" i="5" s="1"/>
  <c r="J301" i="5" s="1"/>
  <c r="K301" i="5" s="1"/>
  <c r="F302" i="5"/>
  <c r="I302" i="5" s="1"/>
  <c r="J302" i="5" s="1"/>
  <c r="K302" i="5" s="1"/>
  <c r="F303" i="5"/>
  <c r="L303" i="5" s="1"/>
  <c r="F304" i="5"/>
  <c r="M304" i="5" s="1"/>
  <c r="L304" i="5"/>
  <c r="F305" i="5"/>
  <c r="I305" i="5" s="1"/>
  <c r="J305" i="5" s="1"/>
  <c r="K305" i="5" s="1"/>
  <c r="L305" i="5"/>
  <c r="F306" i="5"/>
  <c r="I306" i="5" s="1"/>
  <c r="J306" i="5" s="1"/>
  <c r="K306" i="5" s="1"/>
  <c r="F307" i="5"/>
  <c r="L307" i="5" s="1"/>
  <c r="F308" i="5"/>
  <c r="I308" i="5"/>
  <c r="J308" i="5" s="1"/>
  <c r="K308" i="5" s="1"/>
  <c r="L308" i="5"/>
  <c r="M308" i="5"/>
  <c r="F309" i="5"/>
  <c r="L309" i="5" s="1"/>
  <c r="F310" i="5"/>
  <c r="I310" i="5" s="1"/>
  <c r="J310" i="5" s="1"/>
  <c r="K310" i="5" s="1"/>
  <c r="M310" i="5"/>
  <c r="F311" i="5"/>
  <c r="L311" i="5" s="1"/>
  <c r="F312" i="5"/>
  <c r="I312" i="5" s="1"/>
  <c r="J312" i="5" s="1"/>
  <c r="K312" i="5" s="1"/>
  <c r="F313" i="5"/>
  <c r="I313" i="5" s="1"/>
  <c r="J313" i="5" s="1"/>
  <c r="K313" i="5" s="1"/>
  <c r="F314" i="5"/>
  <c r="I314" i="5" s="1"/>
  <c r="J314" i="5" s="1"/>
  <c r="K314" i="5" s="1"/>
  <c r="F315" i="5"/>
  <c r="L315" i="5" s="1"/>
  <c r="F316" i="5"/>
  <c r="I316" i="5" s="1"/>
  <c r="J316" i="5" s="1"/>
  <c r="K316" i="5" s="1"/>
  <c r="F317" i="5"/>
  <c r="I317" i="5" s="1"/>
  <c r="J317" i="5" s="1"/>
  <c r="K317" i="5" s="1"/>
  <c r="F318" i="5"/>
  <c r="I318" i="5" s="1"/>
  <c r="J318" i="5" s="1"/>
  <c r="K318" i="5" s="1"/>
  <c r="F319" i="5"/>
  <c r="L319" i="5" s="1"/>
  <c r="F320" i="5"/>
  <c r="I320" i="5" s="1"/>
  <c r="J320" i="5" s="1"/>
  <c r="K320" i="5" s="1"/>
  <c r="L320" i="5"/>
  <c r="F321" i="5"/>
  <c r="I321" i="5" s="1"/>
  <c r="J321" i="5" s="1"/>
  <c r="K321" i="5" s="1"/>
  <c r="F322" i="5"/>
  <c r="I322" i="5" s="1"/>
  <c r="J322" i="5" s="1"/>
  <c r="K322" i="5" s="1"/>
  <c r="F323" i="5"/>
  <c r="L323" i="5" s="1"/>
  <c r="F324" i="5"/>
  <c r="M324" i="5" s="1"/>
  <c r="I324" i="5"/>
  <c r="J324" i="5" s="1"/>
  <c r="K324" i="5" s="1"/>
  <c r="L324" i="5"/>
  <c r="F325" i="5"/>
  <c r="I325" i="5" s="1"/>
  <c r="J325" i="5" s="1"/>
  <c r="K325" i="5" s="1"/>
  <c r="F326" i="5"/>
  <c r="I326" i="5" s="1"/>
  <c r="J326" i="5" s="1"/>
  <c r="K326" i="5" s="1"/>
  <c r="F327" i="5"/>
  <c r="L327" i="5" s="1"/>
  <c r="F328" i="5"/>
  <c r="I328" i="5" s="1"/>
  <c r="J328" i="5" s="1"/>
  <c r="K328" i="5" s="1"/>
  <c r="L328" i="5"/>
  <c r="F329" i="5"/>
  <c r="I329" i="5" s="1"/>
  <c r="J329" i="5" s="1"/>
  <c r="K329" i="5" s="1"/>
  <c r="F330" i="5"/>
  <c r="I330" i="5" s="1"/>
  <c r="J330" i="5" s="1"/>
  <c r="K330" i="5" s="1"/>
  <c r="F331" i="5"/>
  <c r="L331" i="5" s="1"/>
  <c r="F332" i="5"/>
  <c r="I332" i="5" s="1"/>
  <c r="J332" i="5" s="1"/>
  <c r="K332" i="5" s="1"/>
  <c r="L332" i="5"/>
  <c r="F333" i="5"/>
  <c r="I333" i="5" s="1"/>
  <c r="J333" i="5" s="1"/>
  <c r="K333" i="5" s="1"/>
  <c r="F334" i="5"/>
  <c r="I334" i="5" s="1"/>
  <c r="J334" i="5" s="1"/>
  <c r="K334" i="5" s="1"/>
  <c r="F335" i="5"/>
  <c r="L335" i="5" s="1"/>
  <c r="F336" i="5"/>
  <c r="I336" i="5"/>
  <c r="J336" i="5" s="1"/>
  <c r="K336" i="5" s="1"/>
  <c r="L336" i="5"/>
  <c r="M336" i="5"/>
  <c r="F337" i="5"/>
  <c r="I337" i="5" s="1"/>
  <c r="J337" i="5" s="1"/>
  <c r="K337" i="5" s="1"/>
  <c r="F338" i="5"/>
  <c r="I338" i="5" s="1"/>
  <c r="J338" i="5" s="1"/>
  <c r="K338" i="5" s="1"/>
  <c r="F339" i="5"/>
  <c r="L339" i="5" s="1"/>
  <c r="F340" i="5"/>
  <c r="I340" i="5" s="1"/>
  <c r="J340" i="5" s="1"/>
  <c r="K340" i="5" s="1"/>
  <c r="F341" i="5"/>
  <c r="I341" i="5" s="1"/>
  <c r="J341" i="5" s="1"/>
  <c r="K341" i="5" s="1"/>
  <c r="F342" i="5"/>
  <c r="I342" i="5" s="1"/>
  <c r="J342" i="5" s="1"/>
  <c r="K342" i="5" s="1"/>
  <c r="F343" i="5"/>
  <c r="L343" i="5" s="1"/>
  <c r="F344" i="5"/>
  <c r="M344" i="5" s="1"/>
  <c r="L344" i="5"/>
  <c r="F345" i="5"/>
  <c r="I345" i="5" s="1"/>
  <c r="J345" i="5" s="1"/>
  <c r="K345" i="5" s="1"/>
  <c r="L345" i="5"/>
  <c r="F346" i="5"/>
  <c r="I346" i="5" s="1"/>
  <c r="J346" i="5" s="1"/>
  <c r="K346" i="5" s="1"/>
  <c r="F347" i="5"/>
  <c r="L347" i="5" s="1"/>
  <c r="F348" i="5"/>
  <c r="L348" i="5" s="1"/>
  <c r="I348" i="5"/>
  <c r="J348" i="5" s="1"/>
  <c r="K348" i="5" s="1"/>
  <c r="F349" i="5"/>
  <c r="I349" i="5"/>
  <c r="J349" i="5" s="1"/>
  <c r="K349" i="5" s="1"/>
  <c r="L349" i="5"/>
  <c r="M349" i="5"/>
  <c r="F350" i="5"/>
  <c r="I350" i="5" s="1"/>
  <c r="J350" i="5" s="1"/>
  <c r="K350" i="5" s="1"/>
  <c r="M350" i="5"/>
  <c r="I309" i="5" l="1"/>
  <c r="J309" i="5" s="1"/>
  <c r="K309" i="5" s="1"/>
  <c r="M337" i="5"/>
  <c r="L316" i="5"/>
  <c r="L337" i="5"/>
  <c r="M348" i="5"/>
  <c r="M309" i="5"/>
  <c r="M338" i="5"/>
  <c r="L333" i="5"/>
  <c r="L329" i="5"/>
  <c r="L321" i="5"/>
  <c r="L317" i="5"/>
  <c r="I344" i="5"/>
  <c r="J344" i="5" s="1"/>
  <c r="K344" i="5" s="1"/>
  <c r="L341" i="5"/>
  <c r="L340" i="5"/>
  <c r="M330" i="5"/>
  <c r="M329" i="5"/>
  <c r="M328" i="5"/>
  <c r="L325" i="5"/>
  <c r="M318" i="5"/>
  <c r="M317" i="5"/>
  <c r="M316" i="5"/>
  <c r="L313" i="5"/>
  <c r="L312" i="5"/>
  <c r="I304" i="5"/>
  <c r="J304" i="5" s="1"/>
  <c r="K304" i="5" s="1"/>
  <c r="L301" i="5"/>
  <c r="I296" i="5"/>
  <c r="J296" i="5" s="1"/>
  <c r="K296" i="5" s="1"/>
  <c r="L293" i="5"/>
  <c r="M346" i="5"/>
  <c r="M345" i="5"/>
  <c r="M342" i="5"/>
  <c r="M341" i="5"/>
  <c r="M340" i="5"/>
  <c r="M334" i="5"/>
  <c r="M333" i="5"/>
  <c r="M332" i="5"/>
  <c r="M326" i="5"/>
  <c r="M325" i="5"/>
  <c r="M322" i="5"/>
  <c r="M321" i="5"/>
  <c r="M320" i="5"/>
  <c r="M314" i="5"/>
  <c r="M313" i="5"/>
  <c r="M312" i="5"/>
  <c r="M306" i="5"/>
  <c r="M305" i="5"/>
  <c r="M302" i="5"/>
  <c r="M301" i="5"/>
  <c r="M298" i="5"/>
  <c r="M297" i="5"/>
  <c r="M294" i="5"/>
  <c r="M293" i="5"/>
  <c r="M347" i="5"/>
  <c r="M343" i="5"/>
  <c r="M339" i="5"/>
  <c r="M335" i="5"/>
  <c r="M331" i="5"/>
  <c r="M327" i="5"/>
  <c r="M323" i="5"/>
  <c r="M319" i="5"/>
  <c r="M315" i="5"/>
  <c r="M311" i="5"/>
  <c r="M307" i="5"/>
  <c r="M303" i="5"/>
  <c r="M299" i="5"/>
  <c r="M295" i="5"/>
  <c r="L350" i="5"/>
  <c r="L346" i="5"/>
  <c r="L342" i="5"/>
  <c r="L338" i="5"/>
  <c r="L334" i="5"/>
  <c r="L330" i="5"/>
  <c r="L326" i="5"/>
  <c r="L322" i="5"/>
  <c r="L318" i="5"/>
  <c r="L314" i="5"/>
  <c r="L310" i="5"/>
  <c r="L306" i="5"/>
  <c r="L302" i="5"/>
  <c r="L298" i="5"/>
  <c r="L294" i="5"/>
  <c r="I347" i="5"/>
  <c r="J347" i="5" s="1"/>
  <c r="K347" i="5" s="1"/>
  <c r="I343" i="5"/>
  <c r="J343" i="5" s="1"/>
  <c r="K343" i="5" s="1"/>
  <c r="I339" i="5"/>
  <c r="J339" i="5" s="1"/>
  <c r="K339" i="5" s="1"/>
  <c r="I331" i="5"/>
  <c r="J331" i="5" s="1"/>
  <c r="K331" i="5" s="1"/>
  <c r="I327" i="5"/>
  <c r="J327" i="5" s="1"/>
  <c r="K327" i="5" s="1"/>
  <c r="I319" i="5"/>
  <c r="J319" i="5" s="1"/>
  <c r="K319" i="5" s="1"/>
  <c r="I299" i="5"/>
  <c r="J299" i="5" s="1"/>
  <c r="K299" i="5" s="1"/>
  <c r="I295" i="5"/>
  <c r="J295" i="5" s="1"/>
  <c r="K295" i="5" s="1"/>
  <c r="I335" i="5"/>
  <c r="J335" i="5" s="1"/>
  <c r="K335" i="5" s="1"/>
  <c r="I323" i="5"/>
  <c r="J323" i="5" s="1"/>
  <c r="K323" i="5" s="1"/>
  <c r="I315" i="5"/>
  <c r="J315" i="5" s="1"/>
  <c r="K315" i="5" s="1"/>
  <c r="I311" i="5"/>
  <c r="J311" i="5" s="1"/>
  <c r="K311" i="5" s="1"/>
  <c r="I307" i="5"/>
  <c r="J307" i="5" s="1"/>
  <c r="K307" i="5" s="1"/>
  <c r="I303" i="5"/>
  <c r="J303" i="5" s="1"/>
  <c r="K303" i="5" s="1"/>
  <c r="F3" i="6"/>
  <c r="F11" i="7"/>
  <c r="F10" i="7"/>
  <c r="F9" i="7"/>
  <c r="F8" i="7"/>
  <c r="F7" i="7"/>
  <c r="F6" i="7"/>
  <c r="F5" i="7"/>
  <c r="F4" i="7"/>
  <c r="F3" i="7"/>
  <c r="F2" i="7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M2" i="7" l="1"/>
  <c r="L2" i="7"/>
  <c r="I2" i="7"/>
  <c r="J2" i="7" s="1"/>
  <c r="K2" i="7" s="1"/>
  <c r="M3" i="7"/>
  <c r="L3" i="7"/>
  <c r="I3" i="7"/>
  <c r="J3" i="7" s="1"/>
  <c r="K3" i="7" s="1"/>
  <c r="M4" i="7"/>
  <c r="L4" i="7"/>
  <c r="I4" i="7"/>
  <c r="J4" i="7" s="1"/>
  <c r="K4" i="7" s="1"/>
  <c r="M5" i="7"/>
  <c r="L5" i="7"/>
  <c r="I5" i="7"/>
  <c r="J5" i="7" s="1"/>
  <c r="K5" i="7" s="1"/>
  <c r="M6" i="7"/>
  <c r="L6" i="7"/>
  <c r="I6" i="7"/>
  <c r="J6" i="7" s="1"/>
  <c r="K6" i="7" s="1"/>
  <c r="M7" i="7"/>
  <c r="L7" i="7"/>
  <c r="I7" i="7"/>
  <c r="J7" i="7" s="1"/>
  <c r="K7" i="7" s="1"/>
  <c r="M8" i="7"/>
  <c r="L8" i="7"/>
  <c r="I8" i="7"/>
  <c r="J8" i="7" s="1"/>
  <c r="K8" i="7" s="1"/>
  <c r="M9" i="7"/>
  <c r="L9" i="7"/>
  <c r="I9" i="7"/>
  <c r="J9" i="7" s="1"/>
  <c r="K9" i="7" s="1"/>
  <c r="M10" i="7"/>
  <c r="L10" i="7"/>
  <c r="I10" i="7"/>
  <c r="J10" i="7" s="1"/>
  <c r="K10" i="7" s="1"/>
  <c r="M11" i="7"/>
  <c r="L11" i="7"/>
  <c r="I11" i="7"/>
  <c r="J11" i="7" s="1"/>
  <c r="K11" i="7" s="1"/>
  <c r="M2" i="5"/>
  <c r="L2" i="5"/>
  <c r="I2" i="5"/>
  <c r="J2" i="5" s="1"/>
  <c r="K2" i="5" s="1"/>
  <c r="M3" i="5"/>
  <c r="L3" i="5"/>
  <c r="I3" i="5"/>
  <c r="J3" i="5" s="1"/>
  <c r="K3" i="5" s="1"/>
  <c r="M4" i="5"/>
  <c r="L4" i="5"/>
  <c r="I4" i="5"/>
  <c r="J4" i="5" s="1"/>
  <c r="K4" i="5" s="1"/>
  <c r="M5" i="5"/>
  <c r="L5" i="5"/>
  <c r="I5" i="5"/>
  <c r="J5" i="5" s="1"/>
  <c r="K5" i="5" s="1"/>
  <c r="M6" i="5"/>
  <c r="L6" i="5"/>
  <c r="I6" i="5"/>
  <c r="J6" i="5" s="1"/>
  <c r="K6" i="5" s="1"/>
  <c r="M7" i="5"/>
  <c r="L7" i="5"/>
  <c r="I7" i="5"/>
  <c r="J7" i="5" s="1"/>
  <c r="K7" i="5" s="1"/>
  <c r="M8" i="5"/>
  <c r="L8" i="5"/>
  <c r="I8" i="5"/>
  <c r="J8" i="5" s="1"/>
  <c r="K8" i="5" s="1"/>
  <c r="M9" i="5"/>
  <c r="L9" i="5"/>
  <c r="I9" i="5"/>
  <c r="J9" i="5" s="1"/>
  <c r="K9" i="5" s="1"/>
  <c r="M10" i="5"/>
  <c r="L10" i="5"/>
  <c r="I10" i="5"/>
  <c r="J10" i="5" s="1"/>
  <c r="K10" i="5" s="1"/>
  <c r="M11" i="5"/>
  <c r="L11" i="5"/>
  <c r="I11" i="5"/>
  <c r="J11" i="5" s="1"/>
  <c r="K11" i="5" s="1"/>
  <c r="M12" i="5"/>
  <c r="L12" i="5"/>
  <c r="I12" i="5"/>
  <c r="J12" i="5" s="1"/>
  <c r="K12" i="5" s="1"/>
  <c r="M13" i="5"/>
  <c r="L13" i="5"/>
  <c r="I13" i="5"/>
  <c r="J13" i="5" s="1"/>
  <c r="K13" i="5" s="1"/>
  <c r="M14" i="5"/>
  <c r="L14" i="5"/>
  <c r="I14" i="5"/>
  <c r="J14" i="5" s="1"/>
  <c r="K14" i="5" s="1"/>
  <c r="M15" i="5"/>
  <c r="L15" i="5"/>
  <c r="I15" i="5"/>
  <c r="J15" i="5" s="1"/>
  <c r="K15" i="5" s="1"/>
  <c r="M16" i="5"/>
  <c r="L16" i="5"/>
  <c r="I16" i="5"/>
  <c r="J16" i="5" s="1"/>
  <c r="K16" i="5" s="1"/>
  <c r="M17" i="5"/>
  <c r="L17" i="5"/>
  <c r="I17" i="5"/>
  <c r="J17" i="5" s="1"/>
  <c r="K17" i="5" s="1"/>
  <c r="M18" i="5"/>
  <c r="L18" i="5"/>
  <c r="I18" i="5"/>
  <c r="J18" i="5" s="1"/>
  <c r="K18" i="5" s="1"/>
  <c r="M19" i="5"/>
  <c r="L19" i="5"/>
  <c r="I19" i="5"/>
  <c r="J19" i="5" s="1"/>
  <c r="K19" i="5" s="1"/>
  <c r="M20" i="5"/>
  <c r="L20" i="5"/>
  <c r="I20" i="5"/>
  <c r="J20" i="5" s="1"/>
  <c r="K20" i="5" s="1"/>
  <c r="M21" i="5"/>
  <c r="L21" i="5"/>
  <c r="I21" i="5"/>
  <c r="J21" i="5" s="1"/>
  <c r="K21" i="5" s="1"/>
  <c r="M22" i="5"/>
  <c r="L22" i="5"/>
  <c r="I22" i="5"/>
  <c r="J22" i="5" s="1"/>
  <c r="K22" i="5" s="1"/>
  <c r="M23" i="5"/>
  <c r="L23" i="5"/>
  <c r="I23" i="5"/>
  <c r="J23" i="5" s="1"/>
  <c r="K23" i="5" s="1"/>
  <c r="M24" i="5"/>
  <c r="L24" i="5"/>
  <c r="I24" i="5"/>
  <c r="J24" i="5" s="1"/>
  <c r="K24" i="5" s="1"/>
  <c r="M25" i="5"/>
  <c r="L25" i="5"/>
  <c r="I25" i="5"/>
  <c r="J25" i="5" s="1"/>
  <c r="K25" i="5" s="1"/>
  <c r="M26" i="5"/>
  <c r="L26" i="5"/>
  <c r="I26" i="5"/>
  <c r="J26" i="5" s="1"/>
  <c r="K26" i="5" s="1"/>
  <c r="M27" i="5"/>
  <c r="L27" i="5"/>
  <c r="I27" i="5"/>
  <c r="J27" i="5" s="1"/>
  <c r="K27" i="5" s="1"/>
  <c r="M28" i="5"/>
  <c r="L28" i="5"/>
  <c r="I28" i="5"/>
  <c r="J28" i="5" s="1"/>
  <c r="K28" i="5" s="1"/>
  <c r="M29" i="5"/>
  <c r="L29" i="5"/>
  <c r="I29" i="5"/>
  <c r="J29" i="5" s="1"/>
  <c r="K29" i="5" s="1"/>
  <c r="M30" i="5"/>
  <c r="L30" i="5"/>
  <c r="I30" i="5"/>
  <c r="J30" i="5" s="1"/>
  <c r="K30" i="5" s="1"/>
  <c r="M31" i="5"/>
  <c r="L31" i="5"/>
  <c r="I31" i="5"/>
  <c r="J31" i="5" s="1"/>
  <c r="K31" i="5" s="1"/>
  <c r="M32" i="5"/>
  <c r="L32" i="5"/>
  <c r="I32" i="5"/>
  <c r="J32" i="5" s="1"/>
  <c r="K32" i="5" s="1"/>
  <c r="M33" i="5"/>
  <c r="L33" i="5"/>
  <c r="I33" i="5"/>
  <c r="J33" i="5" s="1"/>
  <c r="K33" i="5" s="1"/>
  <c r="M34" i="5"/>
  <c r="L34" i="5"/>
  <c r="I34" i="5"/>
  <c r="J34" i="5" s="1"/>
  <c r="K34" i="5" s="1"/>
  <c r="M35" i="5"/>
  <c r="L35" i="5"/>
  <c r="I35" i="5"/>
  <c r="J35" i="5" s="1"/>
  <c r="K35" i="5" s="1"/>
  <c r="M36" i="5"/>
  <c r="L36" i="5"/>
  <c r="I36" i="5"/>
  <c r="J36" i="5" s="1"/>
  <c r="K36" i="5" s="1"/>
  <c r="M37" i="5"/>
  <c r="L37" i="5"/>
  <c r="I37" i="5"/>
  <c r="J37" i="5" s="1"/>
  <c r="K37" i="5" s="1"/>
  <c r="M38" i="5"/>
  <c r="L38" i="5"/>
  <c r="I38" i="5"/>
  <c r="J38" i="5" s="1"/>
  <c r="K38" i="5" s="1"/>
  <c r="M39" i="5"/>
  <c r="L39" i="5"/>
  <c r="I39" i="5"/>
  <c r="J39" i="5" s="1"/>
  <c r="K39" i="5" s="1"/>
  <c r="M40" i="5"/>
  <c r="L40" i="5"/>
  <c r="I40" i="5"/>
  <c r="J40" i="5" s="1"/>
  <c r="K40" i="5" s="1"/>
  <c r="M41" i="5"/>
  <c r="L41" i="5"/>
  <c r="I41" i="5"/>
  <c r="J41" i="5" s="1"/>
  <c r="K41" i="5" s="1"/>
  <c r="M42" i="5"/>
  <c r="L42" i="5"/>
  <c r="I42" i="5"/>
  <c r="J42" i="5" s="1"/>
  <c r="K42" i="5" s="1"/>
  <c r="M43" i="5"/>
  <c r="L43" i="5"/>
  <c r="I43" i="5"/>
  <c r="J43" i="5" s="1"/>
  <c r="K43" i="5" s="1"/>
  <c r="M44" i="5"/>
  <c r="L44" i="5"/>
  <c r="I44" i="5"/>
  <c r="J44" i="5" s="1"/>
  <c r="K44" i="5" s="1"/>
  <c r="M45" i="5"/>
  <c r="L45" i="5"/>
  <c r="I45" i="5"/>
  <c r="J45" i="5" s="1"/>
  <c r="K45" i="5" s="1"/>
  <c r="M46" i="5"/>
  <c r="L46" i="5"/>
  <c r="I46" i="5"/>
  <c r="J46" i="5" s="1"/>
  <c r="K46" i="5" s="1"/>
  <c r="M47" i="5"/>
  <c r="L47" i="5"/>
  <c r="I47" i="5"/>
  <c r="J47" i="5" s="1"/>
  <c r="K47" i="5" s="1"/>
  <c r="M48" i="5"/>
  <c r="L48" i="5"/>
  <c r="I48" i="5"/>
  <c r="J48" i="5" s="1"/>
  <c r="K48" i="5" s="1"/>
  <c r="M49" i="5"/>
  <c r="L49" i="5"/>
  <c r="I49" i="5"/>
  <c r="J49" i="5" s="1"/>
  <c r="K49" i="5" s="1"/>
  <c r="M50" i="5"/>
  <c r="L50" i="5"/>
  <c r="I50" i="5"/>
  <c r="J50" i="5" s="1"/>
  <c r="K50" i="5" s="1"/>
  <c r="M51" i="5"/>
  <c r="L51" i="5"/>
  <c r="I51" i="5"/>
  <c r="J51" i="5" s="1"/>
  <c r="K51" i="5" s="1"/>
  <c r="M52" i="5"/>
  <c r="L52" i="5"/>
  <c r="I52" i="5"/>
  <c r="J52" i="5" s="1"/>
  <c r="K52" i="5" s="1"/>
  <c r="M53" i="5"/>
  <c r="L53" i="5"/>
  <c r="I53" i="5"/>
  <c r="J53" i="5" s="1"/>
  <c r="K53" i="5" s="1"/>
  <c r="M54" i="5"/>
  <c r="L54" i="5"/>
  <c r="I54" i="5"/>
  <c r="J54" i="5" s="1"/>
  <c r="K54" i="5" s="1"/>
  <c r="M55" i="5"/>
  <c r="L55" i="5"/>
  <c r="I55" i="5"/>
  <c r="J55" i="5" s="1"/>
  <c r="K55" i="5" s="1"/>
  <c r="M56" i="5"/>
  <c r="L56" i="5"/>
  <c r="I56" i="5"/>
  <c r="J56" i="5" s="1"/>
  <c r="K56" i="5" s="1"/>
  <c r="M57" i="5"/>
  <c r="L57" i="5"/>
  <c r="I57" i="5"/>
  <c r="J57" i="5" s="1"/>
  <c r="K57" i="5" s="1"/>
  <c r="M58" i="5"/>
  <c r="L58" i="5"/>
  <c r="I58" i="5"/>
  <c r="J58" i="5" s="1"/>
  <c r="K58" i="5" s="1"/>
  <c r="M59" i="5"/>
  <c r="L59" i="5"/>
  <c r="I59" i="5"/>
  <c r="J59" i="5" s="1"/>
  <c r="K59" i="5" s="1"/>
  <c r="M60" i="5"/>
  <c r="L60" i="5"/>
  <c r="I60" i="5"/>
  <c r="J60" i="5" s="1"/>
  <c r="K60" i="5" s="1"/>
  <c r="M61" i="5"/>
  <c r="L61" i="5"/>
  <c r="I61" i="5"/>
  <c r="J61" i="5" s="1"/>
  <c r="K61" i="5" s="1"/>
  <c r="M62" i="5"/>
  <c r="L62" i="5"/>
  <c r="I62" i="5"/>
  <c r="J62" i="5" s="1"/>
  <c r="K62" i="5" s="1"/>
  <c r="M63" i="5"/>
  <c r="L63" i="5"/>
  <c r="I63" i="5"/>
  <c r="J63" i="5" s="1"/>
  <c r="K63" i="5" s="1"/>
  <c r="M64" i="5"/>
  <c r="L64" i="5"/>
  <c r="I64" i="5"/>
  <c r="J64" i="5" s="1"/>
  <c r="K64" i="5" s="1"/>
  <c r="M65" i="5"/>
  <c r="L65" i="5"/>
  <c r="I65" i="5"/>
  <c r="J65" i="5" s="1"/>
  <c r="K65" i="5" s="1"/>
  <c r="M66" i="5"/>
  <c r="L66" i="5"/>
  <c r="I66" i="5"/>
  <c r="J66" i="5" s="1"/>
  <c r="K66" i="5" s="1"/>
  <c r="M67" i="5"/>
  <c r="L67" i="5"/>
  <c r="I67" i="5"/>
  <c r="J67" i="5" s="1"/>
  <c r="K67" i="5" s="1"/>
  <c r="M68" i="5"/>
  <c r="L68" i="5"/>
  <c r="I68" i="5"/>
  <c r="J68" i="5" s="1"/>
  <c r="K68" i="5" s="1"/>
  <c r="M69" i="5"/>
  <c r="L69" i="5"/>
  <c r="I69" i="5"/>
  <c r="J69" i="5" s="1"/>
  <c r="K69" i="5" s="1"/>
  <c r="M70" i="5"/>
  <c r="L70" i="5"/>
  <c r="I70" i="5"/>
  <c r="J70" i="5" s="1"/>
  <c r="K70" i="5" s="1"/>
  <c r="M71" i="5"/>
  <c r="L71" i="5"/>
  <c r="I71" i="5"/>
  <c r="J71" i="5" s="1"/>
  <c r="K71" i="5" s="1"/>
  <c r="M72" i="5"/>
  <c r="L72" i="5"/>
  <c r="I72" i="5"/>
  <c r="J72" i="5" s="1"/>
  <c r="K72" i="5" s="1"/>
  <c r="M73" i="5"/>
  <c r="L73" i="5"/>
  <c r="I73" i="5"/>
  <c r="J73" i="5" s="1"/>
  <c r="K73" i="5" s="1"/>
  <c r="M74" i="5"/>
  <c r="L74" i="5"/>
  <c r="I74" i="5"/>
  <c r="J74" i="5" s="1"/>
  <c r="K74" i="5" s="1"/>
  <c r="M75" i="5"/>
  <c r="L75" i="5"/>
  <c r="I75" i="5"/>
  <c r="J75" i="5" s="1"/>
  <c r="K75" i="5" s="1"/>
  <c r="M76" i="5"/>
  <c r="L76" i="5"/>
  <c r="I76" i="5"/>
  <c r="J76" i="5" s="1"/>
  <c r="K76" i="5" s="1"/>
  <c r="M77" i="5"/>
  <c r="L77" i="5"/>
  <c r="I77" i="5"/>
  <c r="J77" i="5" s="1"/>
  <c r="K77" i="5" s="1"/>
  <c r="M78" i="5"/>
  <c r="L78" i="5"/>
  <c r="I78" i="5"/>
  <c r="J78" i="5" s="1"/>
  <c r="K78" i="5" s="1"/>
  <c r="M79" i="5"/>
  <c r="L79" i="5"/>
  <c r="I79" i="5"/>
  <c r="J79" i="5" s="1"/>
  <c r="K79" i="5" s="1"/>
  <c r="M80" i="5"/>
  <c r="L80" i="5"/>
  <c r="I80" i="5"/>
  <c r="J80" i="5" s="1"/>
  <c r="K80" i="5" s="1"/>
  <c r="M81" i="5"/>
  <c r="L81" i="5"/>
  <c r="I81" i="5"/>
  <c r="J81" i="5" s="1"/>
  <c r="K81" i="5" s="1"/>
  <c r="M82" i="5"/>
  <c r="L82" i="5"/>
  <c r="I82" i="5"/>
  <c r="J82" i="5" s="1"/>
  <c r="K82" i="5" s="1"/>
  <c r="M83" i="5"/>
  <c r="L83" i="5"/>
  <c r="I83" i="5"/>
  <c r="J83" i="5" s="1"/>
  <c r="K83" i="5" s="1"/>
  <c r="M84" i="5"/>
  <c r="L84" i="5"/>
  <c r="I84" i="5"/>
  <c r="J84" i="5" s="1"/>
  <c r="K84" i="5" s="1"/>
  <c r="M85" i="5"/>
  <c r="L85" i="5"/>
  <c r="I85" i="5"/>
  <c r="J85" i="5" s="1"/>
  <c r="K85" i="5" s="1"/>
  <c r="M86" i="5"/>
  <c r="L86" i="5"/>
  <c r="I86" i="5"/>
  <c r="J86" i="5" s="1"/>
  <c r="K86" i="5" s="1"/>
  <c r="M87" i="5"/>
  <c r="L87" i="5"/>
  <c r="I87" i="5"/>
  <c r="J87" i="5" s="1"/>
  <c r="K87" i="5" s="1"/>
  <c r="M88" i="5"/>
  <c r="L88" i="5"/>
  <c r="I88" i="5"/>
  <c r="J88" i="5" s="1"/>
  <c r="K88" i="5" s="1"/>
  <c r="M89" i="5"/>
  <c r="L89" i="5"/>
  <c r="I89" i="5"/>
  <c r="J89" i="5" s="1"/>
  <c r="K89" i="5" s="1"/>
  <c r="M90" i="5"/>
  <c r="L90" i="5"/>
  <c r="I90" i="5"/>
  <c r="J90" i="5" s="1"/>
  <c r="K90" i="5" s="1"/>
  <c r="M91" i="5"/>
  <c r="L91" i="5"/>
  <c r="I91" i="5"/>
  <c r="J91" i="5" s="1"/>
  <c r="K91" i="5" s="1"/>
  <c r="M92" i="5"/>
  <c r="L92" i="5"/>
  <c r="I92" i="5"/>
  <c r="J92" i="5" s="1"/>
  <c r="K92" i="5" s="1"/>
  <c r="M93" i="5"/>
  <c r="L93" i="5"/>
  <c r="I93" i="5"/>
  <c r="J93" i="5" s="1"/>
  <c r="K93" i="5" s="1"/>
  <c r="M94" i="5"/>
  <c r="L94" i="5"/>
  <c r="I94" i="5"/>
  <c r="J94" i="5" s="1"/>
  <c r="K94" i="5" s="1"/>
  <c r="M95" i="5"/>
  <c r="L95" i="5"/>
  <c r="I95" i="5"/>
  <c r="J95" i="5" s="1"/>
  <c r="K95" i="5" s="1"/>
  <c r="M96" i="5"/>
  <c r="L96" i="5"/>
  <c r="I96" i="5"/>
  <c r="J96" i="5" s="1"/>
  <c r="K96" i="5" s="1"/>
  <c r="M97" i="5"/>
  <c r="L97" i="5"/>
  <c r="I97" i="5"/>
  <c r="J97" i="5" s="1"/>
  <c r="K97" i="5" s="1"/>
  <c r="M98" i="5"/>
  <c r="L98" i="5"/>
  <c r="I98" i="5"/>
  <c r="J98" i="5" s="1"/>
  <c r="K98" i="5" s="1"/>
  <c r="M99" i="5"/>
  <c r="L99" i="5"/>
  <c r="I99" i="5"/>
  <c r="J99" i="5" s="1"/>
  <c r="K99" i="5" s="1"/>
  <c r="M100" i="5"/>
  <c r="L100" i="5"/>
  <c r="I100" i="5"/>
  <c r="J100" i="5" s="1"/>
  <c r="K100" i="5" s="1"/>
  <c r="M101" i="5"/>
  <c r="L101" i="5"/>
  <c r="I101" i="5"/>
  <c r="J101" i="5" s="1"/>
  <c r="K101" i="5" s="1"/>
  <c r="M102" i="5"/>
  <c r="L102" i="5"/>
  <c r="I102" i="5"/>
  <c r="J102" i="5" s="1"/>
  <c r="K102" i="5" s="1"/>
  <c r="M103" i="5"/>
  <c r="L103" i="5"/>
  <c r="I103" i="5"/>
  <c r="J103" i="5" s="1"/>
  <c r="K103" i="5" s="1"/>
  <c r="M104" i="5"/>
  <c r="L104" i="5"/>
  <c r="I104" i="5"/>
  <c r="J104" i="5" s="1"/>
  <c r="K104" i="5" s="1"/>
  <c r="M105" i="5"/>
  <c r="L105" i="5"/>
  <c r="I105" i="5"/>
  <c r="J105" i="5" s="1"/>
  <c r="K105" i="5" s="1"/>
  <c r="M106" i="5"/>
  <c r="L106" i="5"/>
  <c r="I106" i="5"/>
  <c r="J106" i="5" s="1"/>
  <c r="K106" i="5" s="1"/>
  <c r="M107" i="5"/>
  <c r="L107" i="5"/>
  <c r="I107" i="5"/>
  <c r="J107" i="5" s="1"/>
  <c r="K107" i="5" s="1"/>
  <c r="M108" i="5"/>
  <c r="L108" i="5"/>
  <c r="I108" i="5"/>
  <c r="J108" i="5" s="1"/>
  <c r="K108" i="5" s="1"/>
  <c r="M109" i="5"/>
  <c r="L109" i="5"/>
  <c r="I109" i="5"/>
  <c r="J109" i="5" s="1"/>
  <c r="K109" i="5" s="1"/>
  <c r="M110" i="5"/>
  <c r="L110" i="5"/>
  <c r="I110" i="5"/>
  <c r="J110" i="5" s="1"/>
  <c r="K110" i="5" s="1"/>
  <c r="M111" i="5"/>
  <c r="L111" i="5"/>
  <c r="I111" i="5"/>
  <c r="J111" i="5" s="1"/>
  <c r="K111" i="5" s="1"/>
  <c r="M112" i="5"/>
  <c r="L112" i="5"/>
  <c r="I112" i="5"/>
  <c r="J112" i="5" s="1"/>
  <c r="K112" i="5" s="1"/>
  <c r="M113" i="5"/>
  <c r="L113" i="5"/>
  <c r="I113" i="5"/>
  <c r="J113" i="5" s="1"/>
  <c r="K113" i="5" s="1"/>
  <c r="M114" i="5"/>
  <c r="L114" i="5"/>
  <c r="I114" i="5"/>
  <c r="J114" i="5" s="1"/>
  <c r="K114" i="5" s="1"/>
  <c r="M115" i="5"/>
  <c r="L115" i="5"/>
  <c r="I115" i="5"/>
  <c r="J115" i="5" s="1"/>
  <c r="K115" i="5" s="1"/>
  <c r="M116" i="5"/>
  <c r="L116" i="5"/>
  <c r="I116" i="5"/>
  <c r="J116" i="5" s="1"/>
  <c r="K116" i="5" s="1"/>
  <c r="M117" i="5"/>
  <c r="L117" i="5"/>
  <c r="I117" i="5"/>
  <c r="J117" i="5" s="1"/>
  <c r="K117" i="5" s="1"/>
  <c r="M118" i="5"/>
  <c r="L118" i="5"/>
  <c r="I118" i="5"/>
  <c r="J118" i="5" s="1"/>
  <c r="K118" i="5" s="1"/>
  <c r="M119" i="5"/>
  <c r="L119" i="5"/>
  <c r="I119" i="5"/>
  <c r="J119" i="5" s="1"/>
  <c r="K119" i="5" s="1"/>
  <c r="M120" i="5"/>
  <c r="L120" i="5"/>
  <c r="I120" i="5"/>
  <c r="J120" i="5" s="1"/>
  <c r="K120" i="5" s="1"/>
  <c r="M121" i="5"/>
  <c r="L121" i="5"/>
  <c r="I121" i="5"/>
  <c r="J121" i="5" s="1"/>
  <c r="K121" i="5" s="1"/>
  <c r="M122" i="5"/>
  <c r="L122" i="5"/>
  <c r="I122" i="5"/>
  <c r="J122" i="5" s="1"/>
  <c r="K122" i="5" s="1"/>
  <c r="M123" i="5"/>
  <c r="L123" i="5"/>
  <c r="I123" i="5"/>
  <c r="J123" i="5" s="1"/>
  <c r="K123" i="5" s="1"/>
  <c r="M124" i="5"/>
  <c r="L124" i="5"/>
  <c r="I124" i="5"/>
  <c r="J124" i="5" s="1"/>
  <c r="K124" i="5" s="1"/>
  <c r="M125" i="5"/>
  <c r="L125" i="5"/>
  <c r="I125" i="5"/>
  <c r="J125" i="5" s="1"/>
  <c r="K125" i="5" s="1"/>
  <c r="M126" i="5"/>
  <c r="L126" i="5"/>
  <c r="I126" i="5"/>
  <c r="J126" i="5" s="1"/>
  <c r="K126" i="5" s="1"/>
  <c r="M127" i="5"/>
  <c r="L127" i="5"/>
  <c r="I127" i="5"/>
  <c r="J127" i="5" s="1"/>
  <c r="K127" i="5" s="1"/>
  <c r="M128" i="5"/>
  <c r="L128" i="5"/>
  <c r="I128" i="5"/>
  <c r="J128" i="5" s="1"/>
  <c r="K128" i="5" s="1"/>
  <c r="M129" i="5"/>
  <c r="L129" i="5"/>
  <c r="I129" i="5"/>
  <c r="J129" i="5" s="1"/>
  <c r="K129" i="5" s="1"/>
  <c r="M130" i="5"/>
  <c r="L130" i="5"/>
  <c r="I130" i="5"/>
  <c r="J130" i="5" s="1"/>
  <c r="K130" i="5" s="1"/>
  <c r="M131" i="5"/>
  <c r="L131" i="5"/>
  <c r="I131" i="5"/>
  <c r="J131" i="5" s="1"/>
  <c r="K131" i="5" s="1"/>
  <c r="M132" i="5"/>
  <c r="L132" i="5"/>
  <c r="I132" i="5"/>
  <c r="J132" i="5" s="1"/>
  <c r="K132" i="5" s="1"/>
  <c r="M133" i="5"/>
  <c r="L133" i="5"/>
  <c r="I133" i="5"/>
  <c r="J133" i="5" s="1"/>
  <c r="K133" i="5" s="1"/>
  <c r="M134" i="5"/>
  <c r="L134" i="5"/>
  <c r="I134" i="5"/>
  <c r="J134" i="5" s="1"/>
  <c r="K134" i="5" s="1"/>
  <c r="M135" i="5"/>
  <c r="L135" i="5"/>
  <c r="I135" i="5"/>
  <c r="J135" i="5" s="1"/>
  <c r="K135" i="5" s="1"/>
  <c r="M136" i="5"/>
  <c r="L136" i="5"/>
  <c r="I136" i="5"/>
  <c r="J136" i="5" s="1"/>
  <c r="K136" i="5" s="1"/>
  <c r="M137" i="5"/>
  <c r="L137" i="5"/>
  <c r="I137" i="5"/>
  <c r="J137" i="5" s="1"/>
  <c r="K137" i="5" s="1"/>
  <c r="M138" i="5"/>
  <c r="L138" i="5"/>
  <c r="I138" i="5"/>
  <c r="J138" i="5" s="1"/>
  <c r="K138" i="5" s="1"/>
  <c r="M139" i="5"/>
  <c r="L139" i="5"/>
  <c r="I139" i="5"/>
  <c r="J139" i="5" s="1"/>
  <c r="K139" i="5" s="1"/>
  <c r="M140" i="5"/>
  <c r="L140" i="5"/>
  <c r="I140" i="5"/>
  <c r="J140" i="5" s="1"/>
  <c r="K140" i="5" s="1"/>
  <c r="M141" i="5"/>
  <c r="L141" i="5"/>
  <c r="I141" i="5"/>
  <c r="J141" i="5" s="1"/>
  <c r="K141" i="5" s="1"/>
  <c r="M142" i="5"/>
  <c r="L142" i="5"/>
  <c r="I142" i="5"/>
  <c r="J142" i="5" s="1"/>
  <c r="K142" i="5" s="1"/>
  <c r="M143" i="5"/>
  <c r="L143" i="5"/>
  <c r="I143" i="5"/>
  <c r="J143" i="5" s="1"/>
  <c r="K143" i="5" s="1"/>
  <c r="M144" i="5"/>
  <c r="L144" i="5"/>
  <c r="I144" i="5"/>
  <c r="J144" i="5" s="1"/>
  <c r="K144" i="5" s="1"/>
  <c r="M145" i="5"/>
  <c r="L145" i="5"/>
  <c r="I145" i="5"/>
  <c r="J145" i="5" s="1"/>
  <c r="K145" i="5" s="1"/>
  <c r="M146" i="5"/>
  <c r="L146" i="5"/>
  <c r="I146" i="5"/>
  <c r="J146" i="5" s="1"/>
  <c r="K146" i="5" s="1"/>
  <c r="M147" i="5"/>
  <c r="L147" i="5"/>
  <c r="I147" i="5"/>
  <c r="J147" i="5" s="1"/>
  <c r="K147" i="5" s="1"/>
  <c r="M148" i="5"/>
  <c r="L148" i="5"/>
  <c r="I148" i="5"/>
  <c r="J148" i="5" s="1"/>
  <c r="K148" i="5" s="1"/>
  <c r="M149" i="5"/>
  <c r="L149" i="5"/>
  <c r="I149" i="5"/>
  <c r="J149" i="5" s="1"/>
  <c r="K149" i="5" s="1"/>
  <c r="M150" i="5"/>
  <c r="L150" i="5"/>
  <c r="I150" i="5"/>
  <c r="J150" i="5" s="1"/>
  <c r="K150" i="5" s="1"/>
  <c r="M151" i="5"/>
  <c r="L151" i="5"/>
  <c r="I151" i="5"/>
  <c r="J151" i="5" s="1"/>
  <c r="K151" i="5" s="1"/>
  <c r="M152" i="5"/>
  <c r="L152" i="5"/>
  <c r="I152" i="5"/>
  <c r="J152" i="5" s="1"/>
  <c r="K152" i="5" s="1"/>
  <c r="M153" i="5"/>
  <c r="L153" i="5"/>
  <c r="I153" i="5"/>
  <c r="J153" i="5" s="1"/>
  <c r="K153" i="5" s="1"/>
  <c r="M154" i="5"/>
  <c r="L154" i="5"/>
  <c r="I154" i="5"/>
  <c r="J154" i="5" s="1"/>
  <c r="K154" i="5" s="1"/>
  <c r="M155" i="5"/>
  <c r="L155" i="5"/>
  <c r="I155" i="5"/>
  <c r="J155" i="5" s="1"/>
  <c r="K155" i="5" s="1"/>
  <c r="M156" i="5"/>
  <c r="L156" i="5"/>
  <c r="I156" i="5"/>
  <c r="J156" i="5" s="1"/>
  <c r="K156" i="5" s="1"/>
  <c r="M157" i="5"/>
  <c r="L157" i="5"/>
  <c r="I157" i="5"/>
  <c r="J157" i="5" s="1"/>
  <c r="K157" i="5" s="1"/>
  <c r="M158" i="5"/>
  <c r="L158" i="5"/>
  <c r="I158" i="5"/>
  <c r="J158" i="5" s="1"/>
  <c r="K158" i="5" s="1"/>
  <c r="M159" i="5"/>
  <c r="L159" i="5"/>
  <c r="I159" i="5"/>
  <c r="J159" i="5" s="1"/>
  <c r="K159" i="5" s="1"/>
  <c r="M160" i="5"/>
  <c r="L160" i="5"/>
  <c r="I160" i="5"/>
  <c r="J160" i="5" s="1"/>
  <c r="K160" i="5" s="1"/>
  <c r="M161" i="5"/>
  <c r="L161" i="5"/>
  <c r="I161" i="5"/>
  <c r="J161" i="5" s="1"/>
  <c r="K161" i="5" s="1"/>
  <c r="M162" i="5"/>
  <c r="L162" i="5"/>
  <c r="I162" i="5"/>
  <c r="J162" i="5" s="1"/>
  <c r="K162" i="5" s="1"/>
  <c r="M163" i="5"/>
  <c r="L163" i="5"/>
  <c r="I163" i="5"/>
  <c r="J163" i="5" s="1"/>
  <c r="K163" i="5" s="1"/>
  <c r="M164" i="5"/>
  <c r="L164" i="5"/>
  <c r="I164" i="5"/>
  <c r="J164" i="5" s="1"/>
  <c r="K164" i="5" s="1"/>
  <c r="M165" i="5"/>
  <c r="L165" i="5"/>
  <c r="I165" i="5"/>
  <c r="J165" i="5" s="1"/>
  <c r="K165" i="5" s="1"/>
  <c r="M166" i="5"/>
  <c r="L166" i="5"/>
  <c r="I166" i="5"/>
  <c r="J166" i="5" s="1"/>
  <c r="K166" i="5" s="1"/>
  <c r="M167" i="5"/>
  <c r="L167" i="5"/>
  <c r="I167" i="5"/>
  <c r="J167" i="5" s="1"/>
  <c r="K167" i="5" s="1"/>
  <c r="M168" i="5"/>
  <c r="L168" i="5"/>
  <c r="I168" i="5"/>
  <c r="J168" i="5" s="1"/>
  <c r="K168" i="5" s="1"/>
  <c r="M169" i="5"/>
  <c r="L169" i="5"/>
  <c r="I169" i="5"/>
  <c r="J169" i="5" s="1"/>
  <c r="K169" i="5" s="1"/>
  <c r="M170" i="5"/>
  <c r="L170" i="5"/>
  <c r="I170" i="5"/>
  <c r="J170" i="5" s="1"/>
  <c r="K170" i="5" s="1"/>
  <c r="M171" i="5"/>
  <c r="L171" i="5"/>
  <c r="I171" i="5"/>
  <c r="J171" i="5" s="1"/>
  <c r="K171" i="5" s="1"/>
  <c r="M172" i="5"/>
  <c r="L172" i="5"/>
  <c r="I172" i="5"/>
  <c r="J172" i="5" s="1"/>
  <c r="K172" i="5" s="1"/>
  <c r="M173" i="5"/>
  <c r="L173" i="5"/>
  <c r="I173" i="5"/>
  <c r="J173" i="5" s="1"/>
  <c r="K173" i="5" s="1"/>
  <c r="M174" i="5"/>
  <c r="L174" i="5"/>
  <c r="I174" i="5"/>
  <c r="J174" i="5" s="1"/>
  <c r="K174" i="5" s="1"/>
  <c r="M175" i="5"/>
  <c r="L175" i="5"/>
  <c r="I175" i="5"/>
  <c r="J175" i="5" s="1"/>
  <c r="K175" i="5" s="1"/>
  <c r="M176" i="5"/>
  <c r="L176" i="5"/>
  <c r="I176" i="5"/>
  <c r="J176" i="5" s="1"/>
  <c r="K176" i="5" s="1"/>
  <c r="M177" i="5"/>
  <c r="L177" i="5"/>
  <c r="I177" i="5"/>
  <c r="J177" i="5" s="1"/>
  <c r="K177" i="5" s="1"/>
  <c r="M178" i="5"/>
  <c r="L178" i="5"/>
  <c r="I178" i="5"/>
  <c r="J178" i="5" s="1"/>
  <c r="K178" i="5" s="1"/>
  <c r="M179" i="5"/>
  <c r="L179" i="5"/>
  <c r="I179" i="5"/>
  <c r="J179" i="5" s="1"/>
  <c r="K179" i="5" s="1"/>
  <c r="M180" i="5"/>
  <c r="L180" i="5"/>
  <c r="I180" i="5"/>
  <c r="J180" i="5" s="1"/>
  <c r="K180" i="5" s="1"/>
  <c r="M181" i="5"/>
  <c r="L181" i="5"/>
  <c r="I181" i="5"/>
  <c r="J181" i="5" s="1"/>
  <c r="K181" i="5" s="1"/>
  <c r="M182" i="5"/>
  <c r="L182" i="5"/>
  <c r="I182" i="5"/>
  <c r="J182" i="5" s="1"/>
  <c r="K182" i="5" s="1"/>
  <c r="M183" i="5"/>
  <c r="L183" i="5"/>
  <c r="I183" i="5"/>
  <c r="J183" i="5" s="1"/>
  <c r="K183" i="5" s="1"/>
  <c r="M184" i="5"/>
  <c r="L184" i="5"/>
  <c r="I184" i="5"/>
  <c r="J184" i="5" s="1"/>
  <c r="K184" i="5" s="1"/>
  <c r="M185" i="5"/>
  <c r="L185" i="5"/>
  <c r="I185" i="5"/>
  <c r="J185" i="5" s="1"/>
  <c r="K185" i="5" s="1"/>
  <c r="M186" i="5"/>
  <c r="L186" i="5"/>
  <c r="I186" i="5"/>
  <c r="J186" i="5" s="1"/>
  <c r="K186" i="5" s="1"/>
  <c r="M187" i="5"/>
  <c r="L187" i="5"/>
  <c r="I187" i="5"/>
  <c r="J187" i="5" s="1"/>
  <c r="K187" i="5" s="1"/>
  <c r="M188" i="5"/>
  <c r="L188" i="5"/>
  <c r="I188" i="5"/>
  <c r="J188" i="5" s="1"/>
  <c r="K188" i="5" s="1"/>
  <c r="M189" i="5"/>
  <c r="L189" i="5"/>
  <c r="I189" i="5"/>
  <c r="J189" i="5" s="1"/>
  <c r="K189" i="5" s="1"/>
  <c r="M190" i="5"/>
  <c r="L190" i="5"/>
  <c r="I190" i="5"/>
  <c r="J190" i="5" s="1"/>
  <c r="K190" i="5" s="1"/>
  <c r="M191" i="5"/>
  <c r="L191" i="5"/>
  <c r="I191" i="5"/>
  <c r="J191" i="5" s="1"/>
  <c r="K191" i="5" s="1"/>
  <c r="M192" i="5"/>
  <c r="L192" i="5"/>
  <c r="I192" i="5"/>
  <c r="J192" i="5" s="1"/>
  <c r="K192" i="5" s="1"/>
  <c r="M193" i="5"/>
  <c r="L193" i="5"/>
  <c r="I193" i="5"/>
  <c r="J193" i="5" s="1"/>
  <c r="K193" i="5" s="1"/>
  <c r="M194" i="5"/>
  <c r="L194" i="5"/>
  <c r="I194" i="5"/>
  <c r="J194" i="5" s="1"/>
  <c r="K194" i="5" s="1"/>
  <c r="M195" i="5"/>
  <c r="L195" i="5"/>
  <c r="I195" i="5"/>
  <c r="J195" i="5" s="1"/>
  <c r="K195" i="5" s="1"/>
  <c r="M196" i="5"/>
  <c r="L196" i="5"/>
  <c r="I196" i="5"/>
  <c r="J196" i="5" s="1"/>
  <c r="K196" i="5" s="1"/>
  <c r="M197" i="5"/>
  <c r="L197" i="5"/>
  <c r="I197" i="5"/>
  <c r="J197" i="5" s="1"/>
  <c r="K197" i="5" s="1"/>
  <c r="M198" i="5"/>
  <c r="L198" i="5"/>
  <c r="I198" i="5"/>
  <c r="J198" i="5" s="1"/>
  <c r="K198" i="5" s="1"/>
  <c r="M199" i="5"/>
  <c r="L199" i="5"/>
  <c r="I199" i="5"/>
  <c r="J199" i="5" s="1"/>
  <c r="K199" i="5" s="1"/>
  <c r="M200" i="5"/>
  <c r="L200" i="5"/>
  <c r="I200" i="5"/>
  <c r="J200" i="5" s="1"/>
  <c r="K200" i="5" s="1"/>
  <c r="M201" i="5"/>
  <c r="L201" i="5"/>
  <c r="I201" i="5"/>
  <c r="J201" i="5" s="1"/>
  <c r="K201" i="5" s="1"/>
  <c r="M202" i="5"/>
  <c r="L202" i="5"/>
  <c r="I202" i="5"/>
  <c r="J202" i="5" s="1"/>
  <c r="K202" i="5" s="1"/>
  <c r="M203" i="5"/>
  <c r="L203" i="5"/>
  <c r="I203" i="5"/>
  <c r="J203" i="5" s="1"/>
  <c r="K203" i="5" s="1"/>
  <c r="M204" i="5"/>
  <c r="L204" i="5"/>
  <c r="I204" i="5"/>
  <c r="J204" i="5" s="1"/>
  <c r="K204" i="5" s="1"/>
  <c r="M205" i="5"/>
  <c r="L205" i="5"/>
  <c r="I205" i="5"/>
  <c r="J205" i="5" s="1"/>
  <c r="K205" i="5" s="1"/>
  <c r="M206" i="5"/>
  <c r="L206" i="5"/>
  <c r="I206" i="5"/>
  <c r="J206" i="5" s="1"/>
  <c r="K206" i="5" s="1"/>
  <c r="M207" i="5"/>
  <c r="L207" i="5"/>
  <c r="I207" i="5"/>
  <c r="J207" i="5" s="1"/>
  <c r="K207" i="5" s="1"/>
  <c r="M208" i="5"/>
  <c r="L208" i="5"/>
  <c r="I208" i="5"/>
  <c r="J208" i="5" s="1"/>
  <c r="K208" i="5" s="1"/>
  <c r="M209" i="5"/>
  <c r="L209" i="5"/>
  <c r="I209" i="5"/>
  <c r="J209" i="5" s="1"/>
  <c r="K209" i="5" s="1"/>
  <c r="M210" i="5"/>
  <c r="L210" i="5"/>
  <c r="I210" i="5"/>
  <c r="J210" i="5" s="1"/>
  <c r="K210" i="5" s="1"/>
  <c r="M211" i="5"/>
  <c r="L211" i="5"/>
  <c r="I211" i="5"/>
  <c r="J211" i="5" s="1"/>
  <c r="K211" i="5" s="1"/>
  <c r="M212" i="5"/>
  <c r="L212" i="5"/>
  <c r="I212" i="5"/>
  <c r="J212" i="5" s="1"/>
  <c r="K212" i="5" s="1"/>
  <c r="M213" i="5"/>
  <c r="L213" i="5"/>
  <c r="I213" i="5"/>
  <c r="J213" i="5" s="1"/>
  <c r="K213" i="5" s="1"/>
  <c r="M214" i="5"/>
  <c r="L214" i="5"/>
  <c r="I214" i="5"/>
  <c r="J214" i="5" s="1"/>
  <c r="K214" i="5" s="1"/>
  <c r="M215" i="5"/>
  <c r="L215" i="5"/>
  <c r="I215" i="5"/>
  <c r="J215" i="5" s="1"/>
  <c r="K215" i="5" s="1"/>
  <c r="M216" i="5"/>
  <c r="L216" i="5"/>
  <c r="I216" i="5"/>
  <c r="J216" i="5" s="1"/>
  <c r="K216" i="5" s="1"/>
  <c r="M217" i="5"/>
  <c r="L217" i="5"/>
  <c r="I217" i="5"/>
  <c r="J217" i="5" s="1"/>
  <c r="K217" i="5" s="1"/>
  <c r="M218" i="5"/>
  <c r="L218" i="5"/>
  <c r="I218" i="5"/>
  <c r="J218" i="5" s="1"/>
  <c r="K218" i="5" s="1"/>
  <c r="M219" i="5"/>
  <c r="L219" i="5"/>
  <c r="I219" i="5"/>
  <c r="J219" i="5" s="1"/>
  <c r="K219" i="5" s="1"/>
  <c r="M220" i="5"/>
  <c r="L220" i="5"/>
  <c r="I220" i="5"/>
  <c r="J220" i="5" s="1"/>
  <c r="K220" i="5" s="1"/>
  <c r="M221" i="5"/>
  <c r="L221" i="5"/>
  <c r="I221" i="5"/>
  <c r="J221" i="5" s="1"/>
  <c r="K221" i="5" s="1"/>
  <c r="M222" i="5"/>
  <c r="L222" i="5"/>
  <c r="I222" i="5"/>
  <c r="J222" i="5" s="1"/>
  <c r="K222" i="5" s="1"/>
  <c r="M223" i="5"/>
  <c r="L223" i="5"/>
  <c r="I223" i="5"/>
  <c r="J223" i="5" s="1"/>
  <c r="K223" i="5" s="1"/>
  <c r="M224" i="5"/>
  <c r="L224" i="5"/>
  <c r="I224" i="5"/>
  <c r="J224" i="5" s="1"/>
  <c r="K224" i="5" s="1"/>
  <c r="M225" i="5"/>
  <c r="L225" i="5"/>
  <c r="I225" i="5"/>
  <c r="J225" i="5" s="1"/>
  <c r="K225" i="5" s="1"/>
  <c r="M226" i="5"/>
  <c r="L226" i="5"/>
  <c r="I226" i="5"/>
  <c r="J226" i="5" s="1"/>
  <c r="K226" i="5" s="1"/>
  <c r="M227" i="5"/>
  <c r="L227" i="5"/>
  <c r="I227" i="5"/>
  <c r="J227" i="5" s="1"/>
  <c r="K227" i="5" s="1"/>
  <c r="M228" i="5"/>
  <c r="L228" i="5"/>
  <c r="I228" i="5"/>
  <c r="J228" i="5" s="1"/>
  <c r="K228" i="5" s="1"/>
  <c r="M229" i="5"/>
  <c r="L229" i="5"/>
  <c r="I229" i="5"/>
  <c r="J229" i="5" s="1"/>
  <c r="K229" i="5" s="1"/>
  <c r="M230" i="5"/>
  <c r="L230" i="5"/>
  <c r="I230" i="5"/>
  <c r="J230" i="5" s="1"/>
  <c r="K230" i="5" s="1"/>
  <c r="M231" i="5"/>
  <c r="L231" i="5"/>
  <c r="I231" i="5"/>
  <c r="J231" i="5" s="1"/>
  <c r="K231" i="5" s="1"/>
  <c r="M232" i="5"/>
  <c r="L232" i="5"/>
  <c r="I232" i="5"/>
  <c r="J232" i="5" s="1"/>
  <c r="K232" i="5" s="1"/>
  <c r="M233" i="5"/>
  <c r="L233" i="5"/>
  <c r="I233" i="5"/>
  <c r="J233" i="5" s="1"/>
  <c r="K233" i="5" s="1"/>
  <c r="M234" i="5"/>
  <c r="L234" i="5"/>
  <c r="I234" i="5"/>
  <c r="J234" i="5" s="1"/>
  <c r="K234" i="5" s="1"/>
  <c r="M235" i="5"/>
  <c r="L235" i="5"/>
  <c r="I235" i="5"/>
  <c r="J235" i="5" s="1"/>
  <c r="K235" i="5" s="1"/>
  <c r="M236" i="5"/>
  <c r="L236" i="5"/>
  <c r="I236" i="5"/>
  <c r="J236" i="5" s="1"/>
  <c r="K236" i="5" s="1"/>
  <c r="M237" i="5"/>
  <c r="L237" i="5"/>
  <c r="I237" i="5"/>
  <c r="J237" i="5" s="1"/>
  <c r="K237" i="5" s="1"/>
  <c r="M238" i="5"/>
  <c r="L238" i="5"/>
  <c r="I238" i="5"/>
  <c r="J238" i="5" s="1"/>
  <c r="K238" i="5" s="1"/>
  <c r="M239" i="5"/>
  <c r="L239" i="5"/>
  <c r="I239" i="5"/>
  <c r="J239" i="5" s="1"/>
  <c r="K239" i="5" s="1"/>
  <c r="M240" i="5"/>
  <c r="L240" i="5"/>
  <c r="I240" i="5"/>
  <c r="J240" i="5" s="1"/>
  <c r="K240" i="5" s="1"/>
  <c r="M241" i="5"/>
  <c r="L241" i="5"/>
  <c r="I241" i="5"/>
  <c r="J241" i="5" s="1"/>
  <c r="K241" i="5" s="1"/>
  <c r="M242" i="5"/>
  <c r="L242" i="5"/>
  <c r="I242" i="5"/>
  <c r="J242" i="5" s="1"/>
  <c r="K242" i="5" s="1"/>
  <c r="M243" i="5"/>
  <c r="L243" i="5"/>
  <c r="I243" i="5"/>
  <c r="J243" i="5" s="1"/>
  <c r="K243" i="5" s="1"/>
  <c r="M244" i="5"/>
  <c r="L244" i="5"/>
  <c r="I244" i="5"/>
  <c r="J244" i="5" s="1"/>
  <c r="K244" i="5" s="1"/>
  <c r="M245" i="5"/>
  <c r="L245" i="5"/>
  <c r="I245" i="5"/>
  <c r="J245" i="5" s="1"/>
  <c r="K245" i="5" s="1"/>
  <c r="M246" i="5"/>
  <c r="L246" i="5"/>
  <c r="I246" i="5"/>
  <c r="J246" i="5" s="1"/>
  <c r="K246" i="5" s="1"/>
  <c r="M247" i="5"/>
  <c r="L247" i="5"/>
  <c r="I247" i="5"/>
  <c r="J247" i="5" s="1"/>
  <c r="K247" i="5" s="1"/>
  <c r="M248" i="5"/>
  <c r="L248" i="5"/>
  <c r="I248" i="5"/>
  <c r="J248" i="5" s="1"/>
  <c r="K248" i="5" s="1"/>
  <c r="M249" i="5"/>
  <c r="L249" i="5"/>
  <c r="I249" i="5"/>
  <c r="J249" i="5" s="1"/>
  <c r="K249" i="5" s="1"/>
  <c r="M250" i="5"/>
  <c r="L250" i="5"/>
  <c r="I250" i="5"/>
  <c r="J250" i="5" s="1"/>
  <c r="K250" i="5" s="1"/>
  <c r="M251" i="5"/>
  <c r="L251" i="5"/>
  <c r="I251" i="5"/>
  <c r="J251" i="5" s="1"/>
  <c r="K251" i="5" s="1"/>
  <c r="M252" i="5"/>
  <c r="L252" i="5"/>
  <c r="I252" i="5"/>
  <c r="J252" i="5" s="1"/>
  <c r="K252" i="5" s="1"/>
  <c r="M253" i="5"/>
  <c r="L253" i="5"/>
  <c r="I253" i="5"/>
  <c r="J253" i="5" s="1"/>
  <c r="K253" i="5" s="1"/>
  <c r="M254" i="5"/>
  <c r="L254" i="5"/>
  <c r="I254" i="5"/>
  <c r="J254" i="5" s="1"/>
  <c r="K254" i="5" s="1"/>
  <c r="M255" i="5"/>
  <c r="L255" i="5"/>
  <c r="I255" i="5"/>
  <c r="J255" i="5" s="1"/>
  <c r="K255" i="5" s="1"/>
  <c r="M256" i="5"/>
  <c r="L256" i="5"/>
  <c r="I256" i="5"/>
  <c r="J256" i="5" s="1"/>
  <c r="K256" i="5" s="1"/>
  <c r="M257" i="5"/>
  <c r="L257" i="5"/>
  <c r="I257" i="5"/>
  <c r="J257" i="5" s="1"/>
  <c r="K257" i="5" s="1"/>
  <c r="M258" i="5"/>
  <c r="L258" i="5"/>
  <c r="I258" i="5"/>
  <c r="J258" i="5" s="1"/>
  <c r="K258" i="5" s="1"/>
  <c r="M259" i="5"/>
  <c r="L259" i="5"/>
  <c r="I259" i="5"/>
  <c r="J259" i="5" s="1"/>
  <c r="K259" i="5" s="1"/>
  <c r="M260" i="5"/>
  <c r="L260" i="5"/>
  <c r="I260" i="5"/>
  <c r="J260" i="5" s="1"/>
  <c r="K260" i="5" s="1"/>
  <c r="M261" i="5"/>
  <c r="L261" i="5"/>
  <c r="I261" i="5"/>
  <c r="J261" i="5" s="1"/>
  <c r="K261" i="5" s="1"/>
  <c r="M262" i="5"/>
  <c r="L262" i="5"/>
  <c r="I262" i="5"/>
  <c r="J262" i="5" s="1"/>
  <c r="K262" i="5" s="1"/>
  <c r="M263" i="5"/>
  <c r="L263" i="5"/>
  <c r="I263" i="5"/>
  <c r="J263" i="5" s="1"/>
  <c r="K263" i="5" s="1"/>
  <c r="M264" i="5"/>
  <c r="L264" i="5"/>
  <c r="I264" i="5"/>
  <c r="J264" i="5" s="1"/>
  <c r="K264" i="5" s="1"/>
  <c r="M265" i="5"/>
  <c r="L265" i="5"/>
  <c r="I265" i="5"/>
  <c r="J265" i="5" s="1"/>
  <c r="K265" i="5" s="1"/>
  <c r="M266" i="5"/>
  <c r="L266" i="5"/>
  <c r="I266" i="5"/>
  <c r="J266" i="5" s="1"/>
  <c r="K266" i="5" s="1"/>
  <c r="M267" i="5"/>
  <c r="L267" i="5"/>
  <c r="I267" i="5"/>
  <c r="J267" i="5" s="1"/>
  <c r="K267" i="5" s="1"/>
  <c r="M268" i="5"/>
  <c r="L268" i="5"/>
  <c r="I268" i="5"/>
  <c r="J268" i="5" s="1"/>
  <c r="K268" i="5" s="1"/>
  <c r="M269" i="5"/>
  <c r="L269" i="5"/>
  <c r="I269" i="5"/>
  <c r="J269" i="5" s="1"/>
  <c r="K269" i="5" s="1"/>
  <c r="M270" i="5"/>
  <c r="L270" i="5"/>
  <c r="I270" i="5"/>
  <c r="J270" i="5" s="1"/>
  <c r="K270" i="5" s="1"/>
  <c r="M271" i="5"/>
  <c r="L271" i="5"/>
  <c r="I271" i="5"/>
  <c r="J271" i="5" s="1"/>
  <c r="K271" i="5" s="1"/>
  <c r="M272" i="5"/>
  <c r="L272" i="5"/>
  <c r="I272" i="5"/>
  <c r="J272" i="5" s="1"/>
  <c r="K272" i="5" s="1"/>
  <c r="M273" i="5"/>
  <c r="L273" i="5"/>
  <c r="I273" i="5"/>
  <c r="J273" i="5" s="1"/>
  <c r="K273" i="5" s="1"/>
  <c r="M274" i="5"/>
  <c r="L274" i="5"/>
  <c r="I274" i="5"/>
  <c r="J274" i="5" s="1"/>
  <c r="K274" i="5" s="1"/>
  <c r="M275" i="5"/>
  <c r="L275" i="5"/>
  <c r="I275" i="5"/>
  <c r="J275" i="5" s="1"/>
  <c r="K275" i="5" s="1"/>
  <c r="M276" i="5"/>
  <c r="L276" i="5"/>
  <c r="I276" i="5"/>
  <c r="J276" i="5" s="1"/>
  <c r="K276" i="5" s="1"/>
  <c r="M277" i="5"/>
  <c r="L277" i="5"/>
  <c r="I277" i="5"/>
  <c r="J277" i="5" s="1"/>
  <c r="K277" i="5" s="1"/>
  <c r="M278" i="5"/>
  <c r="L278" i="5"/>
  <c r="I278" i="5"/>
  <c r="J278" i="5" s="1"/>
  <c r="K278" i="5" s="1"/>
  <c r="M279" i="5"/>
  <c r="L279" i="5"/>
  <c r="I279" i="5"/>
  <c r="J279" i="5" s="1"/>
  <c r="K279" i="5" s="1"/>
  <c r="M280" i="5"/>
  <c r="L280" i="5"/>
  <c r="I280" i="5"/>
  <c r="J280" i="5" s="1"/>
  <c r="K280" i="5" s="1"/>
  <c r="M281" i="5"/>
  <c r="L281" i="5"/>
  <c r="I281" i="5"/>
  <c r="J281" i="5" s="1"/>
  <c r="K281" i="5" s="1"/>
  <c r="M282" i="5"/>
  <c r="L282" i="5"/>
  <c r="I282" i="5"/>
  <c r="J282" i="5" s="1"/>
  <c r="K282" i="5" s="1"/>
  <c r="M283" i="5"/>
  <c r="L283" i="5"/>
  <c r="I283" i="5"/>
  <c r="J283" i="5" s="1"/>
  <c r="K283" i="5" s="1"/>
  <c r="M284" i="5"/>
  <c r="L284" i="5"/>
  <c r="I284" i="5"/>
  <c r="J284" i="5" s="1"/>
  <c r="K284" i="5" s="1"/>
  <c r="M285" i="5"/>
  <c r="L285" i="5"/>
  <c r="I285" i="5"/>
  <c r="J285" i="5" s="1"/>
  <c r="K285" i="5" s="1"/>
  <c r="M286" i="5"/>
  <c r="L286" i="5"/>
  <c r="I286" i="5"/>
  <c r="J286" i="5" s="1"/>
  <c r="K286" i="5" s="1"/>
  <c r="M287" i="5"/>
  <c r="L287" i="5"/>
  <c r="I287" i="5"/>
  <c r="J287" i="5" s="1"/>
  <c r="K287" i="5" s="1"/>
  <c r="M288" i="5"/>
  <c r="L288" i="5"/>
  <c r="I288" i="5"/>
  <c r="J288" i="5" s="1"/>
  <c r="K288" i="5" s="1"/>
  <c r="M289" i="5"/>
  <c r="L289" i="5"/>
  <c r="I289" i="5"/>
  <c r="J289" i="5" s="1"/>
  <c r="K289" i="5" s="1"/>
  <c r="M290" i="5"/>
  <c r="L290" i="5"/>
  <c r="I290" i="5"/>
  <c r="J290" i="5" s="1"/>
  <c r="K290" i="5" s="1"/>
  <c r="M291" i="5"/>
  <c r="L291" i="5"/>
  <c r="I291" i="5"/>
  <c r="J291" i="5" s="1"/>
  <c r="K291" i="5" s="1"/>
  <c r="M3" i="6"/>
  <c r="L3" i="6"/>
  <c r="I3" i="6"/>
  <c r="J3" i="6" s="1"/>
  <c r="K3" i="6" s="1"/>
  <c r="M4" i="6"/>
  <c r="L4" i="6"/>
  <c r="I4" i="6"/>
  <c r="J4" i="6" s="1"/>
  <c r="K4" i="6" s="1"/>
  <c r="M5" i="6"/>
  <c r="L5" i="6"/>
  <c r="I5" i="6"/>
  <c r="J5" i="6" s="1"/>
  <c r="K5" i="6" s="1"/>
  <c r="M6" i="6"/>
  <c r="L6" i="6"/>
  <c r="I6" i="6"/>
  <c r="J6" i="6" s="1"/>
  <c r="K6" i="6" s="1"/>
  <c r="M7" i="6"/>
  <c r="L7" i="6"/>
  <c r="I7" i="6"/>
  <c r="J7" i="6" s="1"/>
  <c r="K7" i="6" s="1"/>
  <c r="M8" i="6"/>
  <c r="L8" i="6"/>
  <c r="I8" i="6"/>
  <c r="J8" i="6" s="1"/>
  <c r="K8" i="6" s="1"/>
  <c r="M9" i="6"/>
  <c r="L9" i="6"/>
  <c r="I9" i="6"/>
  <c r="J9" i="6" s="1"/>
  <c r="K9" i="6" s="1"/>
  <c r="M10" i="6"/>
  <c r="L10" i="6"/>
  <c r="I10" i="6"/>
  <c r="J10" i="6" s="1"/>
  <c r="K10" i="6" s="1"/>
  <c r="M11" i="6"/>
  <c r="L11" i="6"/>
  <c r="I11" i="6"/>
  <c r="J11" i="6" s="1"/>
  <c r="K11" i="6" s="1"/>
  <c r="M12" i="6"/>
  <c r="L12" i="6"/>
  <c r="I12" i="6"/>
  <c r="J12" i="6" s="1"/>
  <c r="K12" i="6" s="1"/>
  <c r="M13" i="6"/>
  <c r="L13" i="6"/>
  <c r="J13" i="6"/>
  <c r="K13" i="6" s="1"/>
  <c r="M14" i="6"/>
  <c r="L14" i="6"/>
  <c r="I14" i="6"/>
  <c r="J14" i="6" s="1"/>
  <c r="K14" i="6" s="1"/>
  <c r="M15" i="6"/>
  <c r="L15" i="6"/>
  <c r="I15" i="6"/>
  <c r="J15" i="6" s="1"/>
  <c r="K15" i="6" s="1"/>
  <c r="M16" i="6"/>
  <c r="L16" i="6"/>
  <c r="I16" i="6"/>
  <c r="J16" i="6" s="1"/>
  <c r="K16" i="6" s="1"/>
  <c r="M17" i="6"/>
  <c r="L17" i="6"/>
  <c r="I17" i="6"/>
  <c r="J17" i="6" s="1"/>
  <c r="K17" i="6" s="1"/>
  <c r="M18" i="6"/>
  <c r="L18" i="6"/>
  <c r="I18" i="6"/>
  <c r="J18" i="6" s="1"/>
  <c r="K18" i="6" s="1"/>
  <c r="M19" i="6"/>
  <c r="L19" i="6"/>
  <c r="I19" i="6"/>
  <c r="J19" i="6" s="1"/>
  <c r="K19" i="6" s="1"/>
  <c r="M20" i="6"/>
  <c r="L20" i="6"/>
  <c r="I20" i="6"/>
  <c r="J20" i="6" s="1"/>
  <c r="K20" i="6" s="1"/>
  <c r="M21" i="6"/>
  <c r="L21" i="6"/>
  <c r="I21" i="6"/>
  <c r="J21" i="6" s="1"/>
  <c r="K21" i="6" s="1"/>
  <c r="M22" i="6"/>
  <c r="L22" i="6"/>
  <c r="I22" i="6"/>
  <c r="J22" i="6" s="1"/>
  <c r="K22" i="6" s="1"/>
  <c r="M23" i="6"/>
  <c r="L23" i="6"/>
  <c r="I23" i="6"/>
  <c r="J23" i="6" s="1"/>
  <c r="K23" i="6" s="1"/>
  <c r="M24" i="6"/>
  <c r="L24" i="6"/>
  <c r="I24" i="6"/>
  <c r="J24" i="6" s="1"/>
  <c r="K24" i="6" s="1"/>
  <c r="M25" i="6"/>
  <c r="L25" i="6"/>
  <c r="I25" i="6"/>
  <c r="J25" i="6" s="1"/>
  <c r="K25" i="6" s="1"/>
  <c r="M26" i="6"/>
  <c r="L26" i="6"/>
  <c r="I26" i="6"/>
  <c r="J26" i="6" s="1"/>
  <c r="K26" i="6" s="1"/>
  <c r="M27" i="6"/>
  <c r="L27" i="6"/>
  <c r="I27" i="6"/>
  <c r="J27" i="6" s="1"/>
  <c r="K27" i="6" s="1"/>
  <c r="M28" i="6"/>
  <c r="L28" i="6"/>
  <c r="I28" i="6"/>
  <c r="J28" i="6" s="1"/>
  <c r="K28" i="6" s="1"/>
  <c r="M29" i="6"/>
  <c r="L29" i="6"/>
  <c r="I29" i="6"/>
  <c r="J29" i="6" s="1"/>
  <c r="K29" i="6" s="1"/>
  <c r="M30" i="6"/>
  <c r="L30" i="6"/>
  <c r="I30" i="6"/>
  <c r="J30" i="6" s="1"/>
  <c r="K30" i="6" s="1"/>
  <c r="M31" i="6"/>
  <c r="L31" i="6"/>
  <c r="I31" i="6"/>
  <c r="J31" i="6" s="1"/>
  <c r="K31" i="6" s="1"/>
  <c r="M32" i="6"/>
  <c r="L32" i="6"/>
  <c r="I32" i="6"/>
  <c r="J32" i="6" s="1"/>
  <c r="K32" i="6" s="1"/>
  <c r="M33" i="6"/>
  <c r="L33" i="6"/>
  <c r="I33" i="6"/>
  <c r="J33" i="6" s="1"/>
  <c r="K33" i="6" s="1"/>
  <c r="M34" i="6"/>
  <c r="L34" i="6"/>
  <c r="I34" i="6"/>
  <c r="J34" i="6" s="1"/>
  <c r="K34" i="6" s="1"/>
  <c r="M35" i="6"/>
  <c r="L35" i="6"/>
  <c r="I35" i="6"/>
  <c r="J35" i="6" s="1"/>
  <c r="K35" i="6" s="1"/>
  <c r="M36" i="6"/>
  <c r="L36" i="6"/>
  <c r="I36" i="6"/>
  <c r="J36" i="6" s="1"/>
  <c r="K36" i="6" s="1"/>
  <c r="M37" i="6"/>
  <c r="L37" i="6"/>
  <c r="I37" i="6"/>
  <c r="J37" i="6" s="1"/>
  <c r="K37" i="6" s="1"/>
  <c r="M38" i="6"/>
  <c r="L38" i="6"/>
  <c r="I38" i="6"/>
  <c r="J38" i="6" s="1"/>
  <c r="K38" i="6" s="1"/>
  <c r="M39" i="6"/>
  <c r="L39" i="6"/>
  <c r="I39" i="6"/>
  <c r="J39" i="6" s="1"/>
  <c r="K39" i="6" s="1"/>
  <c r="M40" i="6"/>
  <c r="L40" i="6"/>
  <c r="I40" i="6"/>
  <c r="J40" i="6" s="1"/>
  <c r="K40" i="6" s="1"/>
  <c r="M41" i="6"/>
  <c r="L41" i="6"/>
  <c r="I41" i="6"/>
  <c r="J41" i="6" s="1"/>
  <c r="K41" i="6" s="1"/>
  <c r="M42" i="6"/>
  <c r="L42" i="6"/>
  <c r="I42" i="6"/>
  <c r="J42" i="6" s="1"/>
  <c r="K42" i="6" s="1"/>
  <c r="M43" i="6"/>
  <c r="L43" i="6"/>
  <c r="I43" i="6"/>
  <c r="J43" i="6" s="1"/>
  <c r="K43" i="6" s="1"/>
  <c r="M44" i="6"/>
  <c r="L44" i="6"/>
  <c r="I44" i="6"/>
  <c r="J44" i="6" s="1"/>
  <c r="K44" i="6" s="1"/>
  <c r="M45" i="6"/>
  <c r="L45" i="6"/>
  <c r="I45" i="6"/>
  <c r="J45" i="6" s="1"/>
  <c r="K45" i="6" s="1"/>
  <c r="M46" i="6"/>
  <c r="L46" i="6"/>
  <c r="I46" i="6"/>
  <c r="J46" i="6" s="1"/>
  <c r="K46" i="6" s="1"/>
  <c r="M47" i="6"/>
  <c r="L47" i="6"/>
  <c r="I47" i="6"/>
  <c r="J47" i="6" s="1"/>
  <c r="K47" i="6" s="1"/>
  <c r="M48" i="6"/>
  <c r="L48" i="6"/>
  <c r="I48" i="6"/>
  <c r="J48" i="6" s="1"/>
  <c r="K48" i="6" s="1"/>
  <c r="M49" i="6"/>
  <c r="L49" i="6"/>
  <c r="I49" i="6"/>
  <c r="J49" i="6" s="1"/>
  <c r="K49" i="6" s="1"/>
  <c r="M50" i="6"/>
  <c r="L50" i="6"/>
  <c r="I50" i="6"/>
  <c r="J50" i="6" s="1"/>
  <c r="K50" i="6" s="1"/>
  <c r="M51" i="6"/>
  <c r="L51" i="6"/>
  <c r="I51" i="6"/>
  <c r="J51" i="6" s="1"/>
  <c r="K51" i="6" s="1"/>
  <c r="M52" i="6"/>
  <c r="L52" i="6"/>
  <c r="I52" i="6"/>
  <c r="J52" i="6" s="1"/>
  <c r="K52" i="6" s="1"/>
  <c r="M53" i="6"/>
  <c r="L53" i="6"/>
  <c r="I53" i="6"/>
  <c r="J53" i="6" s="1"/>
  <c r="K53" i="6" s="1"/>
  <c r="M54" i="6"/>
  <c r="L54" i="6"/>
  <c r="I54" i="6"/>
  <c r="J54" i="6" s="1"/>
  <c r="K54" i="6" s="1"/>
  <c r="M55" i="6"/>
  <c r="L55" i="6"/>
  <c r="I55" i="6"/>
  <c r="J55" i="6" s="1"/>
  <c r="K55" i="6" s="1"/>
  <c r="M56" i="6"/>
  <c r="L56" i="6"/>
  <c r="I56" i="6"/>
  <c r="J56" i="6" s="1"/>
  <c r="K56" i="6" s="1"/>
  <c r="M57" i="6"/>
  <c r="L57" i="6"/>
  <c r="I57" i="6"/>
  <c r="J57" i="6" s="1"/>
  <c r="K57" i="6" s="1"/>
  <c r="M58" i="6"/>
  <c r="L58" i="6"/>
  <c r="I58" i="6"/>
  <c r="J58" i="6" s="1"/>
  <c r="K58" i="6" s="1"/>
  <c r="M59" i="6"/>
  <c r="L59" i="6"/>
  <c r="I59" i="6"/>
  <c r="J59" i="6" s="1"/>
  <c r="K59" i="6" s="1"/>
  <c r="M60" i="6"/>
  <c r="L60" i="6"/>
  <c r="I60" i="6"/>
  <c r="J60" i="6" s="1"/>
  <c r="K60" i="6" s="1"/>
  <c r="M61" i="6"/>
  <c r="L61" i="6"/>
  <c r="I61" i="6"/>
  <c r="J61" i="6" s="1"/>
  <c r="K61" i="6" s="1"/>
  <c r="M62" i="6"/>
  <c r="L62" i="6"/>
  <c r="I62" i="6"/>
  <c r="J62" i="6" s="1"/>
  <c r="K62" i="6" s="1"/>
  <c r="M63" i="6"/>
  <c r="L63" i="6"/>
  <c r="I63" i="6"/>
  <c r="J63" i="6" s="1"/>
  <c r="K63" i="6" s="1"/>
  <c r="M64" i="6"/>
  <c r="L64" i="6"/>
  <c r="I64" i="6"/>
  <c r="J64" i="6" s="1"/>
  <c r="K64" i="6" s="1"/>
  <c r="M65" i="6"/>
  <c r="L65" i="6"/>
  <c r="I65" i="6"/>
  <c r="J65" i="6" s="1"/>
  <c r="K65" i="6" s="1"/>
  <c r="M66" i="6"/>
  <c r="L66" i="6"/>
  <c r="I66" i="6"/>
  <c r="J66" i="6" s="1"/>
  <c r="K66" i="6" s="1"/>
  <c r="M67" i="6"/>
  <c r="L67" i="6"/>
  <c r="I67" i="6"/>
  <c r="J67" i="6" s="1"/>
  <c r="K67" i="6" s="1"/>
  <c r="M68" i="6"/>
  <c r="L68" i="6"/>
  <c r="I68" i="6"/>
  <c r="J68" i="6" s="1"/>
  <c r="K68" i="6" s="1"/>
  <c r="M69" i="6"/>
  <c r="L69" i="6"/>
  <c r="I69" i="6"/>
  <c r="J69" i="6" s="1"/>
  <c r="K69" i="6" s="1"/>
  <c r="M70" i="6"/>
  <c r="L70" i="6"/>
  <c r="I70" i="6"/>
  <c r="J70" i="6" s="1"/>
  <c r="K70" i="6" s="1"/>
  <c r="M71" i="6"/>
  <c r="L71" i="6"/>
  <c r="I71" i="6"/>
  <c r="J71" i="6" s="1"/>
  <c r="K71" i="6" s="1"/>
  <c r="M72" i="6"/>
  <c r="L72" i="6"/>
  <c r="I72" i="6"/>
  <c r="J72" i="6" s="1"/>
  <c r="K72" i="6" s="1"/>
  <c r="M73" i="6"/>
  <c r="L73" i="6"/>
  <c r="I73" i="6"/>
  <c r="J73" i="6" s="1"/>
  <c r="K73" i="6" s="1"/>
  <c r="M74" i="6"/>
  <c r="L74" i="6"/>
  <c r="I74" i="6"/>
  <c r="J74" i="6" s="1"/>
  <c r="K74" i="6" s="1"/>
  <c r="M75" i="6"/>
  <c r="L75" i="6"/>
  <c r="I75" i="6"/>
  <c r="J75" i="6" s="1"/>
  <c r="K75" i="6" s="1"/>
  <c r="M76" i="6"/>
  <c r="L76" i="6"/>
  <c r="I76" i="6"/>
  <c r="J76" i="6" s="1"/>
  <c r="K76" i="6" s="1"/>
  <c r="M77" i="6"/>
  <c r="L77" i="6"/>
  <c r="I77" i="6"/>
  <c r="J77" i="6" s="1"/>
  <c r="K77" i="6" s="1"/>
  <c r="M78" i="6"/>
  <c r="L78" i="6"/>
  <c r="I78" i="6"/>
  <c r="J78" i="6" s="1"/>
  <c r="K78" i="6" s="1"/>
  <c r="M79" i="6"/>
  <c r="L79" i="6"/>
  <c r="I79" i="6"/>
  <c r="J79" i="6" s="1"/>
  <c r="K79" i="6" s="1"/>
  <c r="M80" i="6"/>
  <c r="L80" i="6"/>
  <c r="I80" i="6"/>
  <c r="J80" i="6" s="1"/>
  <c r="K80" i="6" s="1"/>
  <c r="M81" i="6"/>
  <c r="L81" i="6"/>
  <c r="I81" i="6"/>
  <c r="J81" i="6" s="1"/>
  <c r="K81" i="6" s="1"/>
  <c r="M82" i="6"/>
  <c r="L82" i="6"/>
  <c r="I82" i="6"/>
  <c r="J82" i="6" s="1"/>
  <c r="K82" i="6" s="1"/>
  <c r="M83" i="6"/>
  <c r="L83" i="6"/>
  <c r="I83" i="6"/>
  <c r="J83" i="6" s="1"/>
  <c r="K83" i="6" s="1"/>
  <c r="M84" i="6"/>
  <c r="L84" i="6"/>
  <c r="I84" i="6"/>
  <c r="J84" i="6" s="1"/>
  <c r="K84" i="6" s="1"/>
  <c r="M85" i="6"/>
  <c r="L85" i="6"/>
  <c r="I85" i="6"/>
  <c r="J85" i="6" s="1"/>
  <c r="K85" i="6" s="1"/>
  <c r="M86" i="6"/>
  <c r="L86" i="6"/>
  <c r="I86" i="6"/>
  <c r="J86" i="6" s="1"/>
  <c r="K86" i="6" s="1"/>
  <c r="M87" i="6"/>
  <c r="L87" i="6"/>
  <c r="I87" i="6"/>
  <c r="J87" i="6" s="1"/>
  <c r="K87" i="6" s="1"/>
  <c r="M88" i="6"/>
  <c r="L88" i="6"/>
  <c r="I88" i="6"/>
  <c r="J88" i="6" s="1"/>
  <c r="K88" i="6" s="1"/>
  <c r="M89" i="6"/>
  <c r="L89" i="6"/>
  <c r="I89" i="6"/>
  <c r="J89" i="6" s="1"/>
  <c r="K89" i="6" s="1"/>
  <c r="M90" i="6"/>
  <c r="L90" i="6"/>
  <c r="I90" i="6"/>
  <c r="J90" i="6" s="1"/>
  <c r="K90" i="6" s="1"/>
  <c r="M91" i="6"/>
  <c r="L91" i="6"/>
  <c r="I91" i="6"/>
  <c r="J91" i="6" s="1"/>
  <c r="K91" i="6" s="1"/>
  <c r="M92" i="6"/>
  <c r="L92" i="6"/>
  <c r="I92" i="6"/>
  <c r="J92" i="6" s="1"/>
  <c r="K92" i="6" s="1"/>
  <c r="M93" i="6"/>
  <c r="L93" i="6"/>
  <c r="I93" i="6"/>
  <c r="J93" i="6" s="1"/>
  <c r="K93" i="6" s="1"/>
  <c r="M94" i="6"/>
  <c r="L94" i="6"/>
  <c r="I94" i="6"/>
  <c r="J94" i="6" s="1"/>
  <c r="K94" i="6" s="1"/>
  <c r="M95" i="6"/>
  <c r="L95" i="6"/>
  <c r="I95" i="6"/>
  <c r="J95" i="6" s="1"/>
  <c r="K95" i="6" s="1"/>
  <c r="M96" i="6"/>
  <c r="L96" i="6"/>
  <c r="I96" i="6"/>
  <c r="J96" i="6" s="1"/>
  <c r="K96" i="6" s="1"/>
  <c r="M97" i="6"/>
  <c r="L97" i="6"/>
  <c r="I97" i="6"/>
  <c r="J97" i="6" s="1"/>
  <c r="K97" i="6" s="1"/>
  <c r="M98" i="6"/>
  <c r="L98" i="6"/>
  <c r="I98" i="6"/>
  <c r="J98" i="6" s="1"/>
  <c r="K98" i="6" s="1"/>
  <c r="M99" i="6"/>
  <c r="L99" i="6"/>
  <c r="I99" i="6"/>
  <c r="J99" i="6" s="1"/>
  <c r="K99" i="6" s="1"/>
  <c r="M100" i="6"/>
  <c r="L100" i="6"/>
  <c r="I100" i="6"/>
  <c r="J100" i="6" s="1"/>
  <c r="K100" i="6" s="1"/>
  <c r="M101" i="6"/>
  <c r="L101" i="6"/>
  <c r="I101" i="6"/>
  <c r="J101" i="6" s="1"/>
  <c r="K101" i="6" s="1"/>
  <c r="M102" i="6"/>
  <c r="L102" i="6"/>
  <c r="I102" i="6"/>
  <c r="J102" i="6" s="1"/>
  <c r="K102" i="6" s="1"/>
  <c r="M103" i="6"/>
  <c r="L103" i="6"/>
  <c r="I103" i="6"/>
  <c r="J103" i="6" s="1"/>
  <c r="K103" i="6" s="1"/>
  <c r="M104" i="6"/>
  <c r="L104" i="6"/>
  <c r="I104" i="6"/>
  <c r="J104" i="6" s="1"/>
  <c r="K104" i="6" s="1"/>
  <c r="M105" i="6"/>
  <c r="L105" i="6"/>
  <c r="I105" i="6"/>
  <c r="J105" i="6" s="1"/>
  <c r="K105" i="6" s="1"/>
  <c r="M106" i="6"/>
  <c r="L106" i="6"/>
  <c r="I106" i="6"/>
  <c r="J106" i="6" s="1"/>
  <c r="K106" i="6" s="1"/>
  <c r="M107" i="6"/>
  <c r="L107" i="6"/>
  <c r="I107" i="6"/>
  <c r="J107" i="6" s="1"/>
  <c r="K107" i="6" s="1"/>
  <c r="M108" i="6"/>
  <c r="L108" i="6"/>
  <c r="I108" i="6"/>
  <c r="J108" i="6" s="1"/>
  <c r="K108" i="6" s="1"/>
  <c r="M109" i="6"/>
  <c r="L109" i="6"/>
  <c r="I109" i="6"/>
  <c r="J109" i="6" s="1"/>
  <c r="K109" i="6" s="1"/>
  <c r="M110" i="6"/>
  <c r="L110" i="6"/>
  <c r="I110" i="6"/>
  <c r="J110" i="6" s="1"/>
  <c r="K110" i="6" s="1"/>
  <c r="M111" i="6"/>
  <c r="L111" i="6"/>
  <c r="I111" i="6"/>
  <c r="J111" i="6" s="1"/>
  <c r="K111" i="6" s="1"/>
  <c r="M112" i="6"/>
  <c r="L112" i="6"/>
  <c r="I112" i="6"/>
  <c r="J112" i="6" s="1"/>
  <c r="K112" i="6" s="1"/>
  <c r="M113" i="6"/>
  <c r="L113" i="6"/>
  <c r="I113" i="6"/>
  <c r="J113" i="6" s="1"/>
  <c r="K113" i="6" s="1"/>
  <c r="M114" i="6"/>
  <c r="L114" i="6"/>
  <c r="I114" i="6"/>
  <c r="J114" i="6" s="1"/>
  <c r="K114" i="6" s="1"/>
  <c r="M115" i="6"/>
  <c r="L115" i="6"/>
  <c r="I115" i="6"/>
  <c r="J115" i="6" s="1"/>
  <c r="K115" i="6" s="1"/>
  <c r="M116" i="6"/>
  <c r="L116" i="6"/>
  <c r="I116" i="6"/>
  <c r="J116" i="6" s="1"/>
  <c r="K116" i="6" s="1"/>
  <c r="M117" i="6"/>
  <c r="L117" i="6"/>
  <c r="I117" i="6"/>
  <c r="J117" i="6" s="1"/>
  <c r="K117" i="6" s="1"/>
  <c r="M118" i="6"/>
  <c r="L118" i="6"/>
  <c r="I118" i="6"/>
  <c r="J118" i="6" s="1"/>
  <c r="K118" i="6" s="1"/>
  <c r="M119" i="6"/>
  <c r="L119" i="6"/>
  <c r="I119" i="6"/>
  <c r="J119" i="6" s="1"/>
  <c r="K119" i="6" s="1"/>
  <c r="M120" i="6"/>
  <c r="L120" i="6"/>
  <c r="I120" i="6"/>
  <c r="J120" i="6" s="1"/>
  <c r="K120" i="6" s="1"/>
  <c r="M121" i="6"/>
  <c r="L121" i="6"/>
  <c r="I121" i="6"/>
  <c r="J121" i="6" s="1"/>
  <c r="K121" i="6" s="1"/>
  <c r="M122" i="6"/>
  <c r="L122" i="6"/>
  <c r="I122" i="6"/>
  <c r="J122" i="6" s="1"/>
  <c r="K122" i="6" s="1"/>
  <c r="M123" i="6"/>
  <c r="L123" i="6"/>
  <c r="I123" i="6"/>
  <c r="J123" i="6" s="1"/>
  <c r="K123" i="6" s="1"/>
  <c r="M124" i="6"/>
  <c r="L124" i="6"/>
  <c r="I124" i="6"/>
  <c r="J124" i="6" s="1"/>
  <c r="K124" i="6" s="1"/>
  <c r="M125" i="6"/>
  <c r="L125" i="6"/>
  <c r="I125" i="6"/>
  <c r="J125" i="6" s="1"/>
  <c r="K125" i="6" s="1"/>
  <c r="M126" i="6"/>
  <c r="L126" i="6"/>
  <c r="I126" i="6"/>
  <c r="J126" i="6" s="1"/>
  <c r="K126" i="6" s="1"/>
  <c r="M127" i="6"/>
  <c r="L127" i="6"/>
  <c r="I127" i="6"/>
  <c r="J127" i="6" s="1"/>
  <c r="K127" i="6" s="1"/>
  <c r="M128" i="6"/>
  <c r="L128" i="6"/>
  <c r="I128" i="6"/>
  <c r="J128" i="6" s="1"/>
  <c r="K128" i="6" s="1"/>
  <c r="M129" i="6"/>
  <c r="L129" i="6"/>
  <c r="I129" i="6"/>
  <c r="J129" i="6" s="1"/>
  <c r="K129" i="6" s="1"/>
  <c r="M130" i="6"/>
  <c r="L130" i="6"/>
  <c r="I130" i="6"/>
  <c r="J130" i="6" s="1"/>
  <c r="K130" i="6" s="1"/>
  <c r="M131" i="6"/>
  <c r="L131" i="6"/>
  <c r="I131" i="6"/>
  <c r="J131" i="6" s="1"/>
  <c r="K131" i="6" s="1"/>
  <c r="M132" i="6"/>
  <c r="L132" i="6"/>
  <c r="I132" i="6"/>
  <c r="J132" i="6" s="1"/>
  <c r="K132" i="6" s="1"/>
  <c r="M133" i="6"/>
  <c r="L133" i="6"/>
  <c r="I133" i="6"/>
  <c r="J133" i="6" s="1"/>
  <c r="K133" i="6" s="1"/>
  <c r="M134" i="6"/>
  <c r="L134" i="6"/>
  <c r="I134" i="6"/>
  <c r="J134" i="6" s="1"/>
  <c r="K134" i="6" s="1"/>
  <c r="M135" i="6"/>
  <c r="L135" i="6"/>
  <c r="I135" i="6"/>
  <c r="J135" i="6" s="1"/>
  <c r="K135" i="6" s="1"/>
  <c r="M136" i="6"/>
  <c r="L136" i="6"/>
  <c r="I136" i="6"/>
  <c r="J136" i="6" s="1"/>
  <c r="K136" i="6" s="1"/>
  <c r="M137" i="6"/>
  <c r="L137" i="6"/>
  <c r="I137" i="6"/>
  <c r="J137" i="6" s="1"/>
  <c r="K137" i="6" s="1"/>
  <c r="M138" i="6"/>
  <c r="L138" i="6"/>
  <c r="I138" i="6"/>
  <c r="J138" i="6" s="1"/>
  <c r="K138" i="6" s="1"/>
  <c r="M139" i="6"/>
  <c r="L139" i="6"/>
  <c r="I139" i="6"/>
  <c r="J139" i="6" s="1"/>
  <c r="K139" i="6" s="1"/>
  <c r="M140" i="6"/>
  <c r="L140" i="6"/>
  <c r="I140" i="6"/>
  <c r="J140" i="6" s="1"/>
  <c r="K140" i="6" s="1"/>
  <c r="M141" i="6"/>
  <c r="L141" i="6"/>
  <c r="I141" i="6"/>
  <c r="J141" i="6" s="1"/>
  <c r="K141" i="6" s="1"/>
  <c r="M142" i="6"/>
  <c r="L142" i="6"/>
  <c r="I142" i="6"/>
  <c r="J142" i="6" s="1"/>
  <c r="K142" i="6" s="1"/>
  <c r="M143" i="6"/>
  <c r="L143" i="6"/>
  <c r="I143" i="6"/>
  <c r="J143" i="6" s="1"/>
  <c r="K143" i="6" s="1"/>
  <c r="M144" i="6"/>
  <c r="L144" i="6"/>
  <c r="I144" i="6"/>
  <c r="J144" i="6" s="1"/>
  <c r="K144" i="6" s="1"/>
  <c r="M145" i="6"/>
  <c r="L145" i="6"/>
  <c r="I145" i="6"/>
  <c r="J145" i="6" s="1"/>
  <c r="K145" i="6" s="1"/>
  <c r="M146" i="6"/>
  <c r="L146" i="6"/>
  <c r="I146" i="6"/>
  <c r="J146" i="6" s="1"/>
  <c r="K146" i="6" s="1"/>
  <c r="M147" i="6"/>
  <c r="L147" i="6"/>
  <c r="I147" i="6"/>
  <c r="J147" i="6" s="1"/>
  <c r="K147" i="6" s="1"/>
  <c r="M148" i="6"/>
  <c r="L148" i="6"/>
  <c r="I148" i="6"/>
  <c r="J148" i="6" s="1"/>
  <c r="K148" i="6" s="1"/>
  <c r="M149" i="6"/>
  <c r="L149" i="6"/>
  <c r="I149" i="6"/>
  <c r="J149" i="6" s="1"/>
  <c r="K149" i="6" s="1"/>
  <c r="M150" i="6"/>
  <c r="L150" i="6"/>
  <c r="I150" i="6"/>
  <c r="J150" i="6" s="1"/>
  <c r="K150" i="6" s="1"/>
  <c r="M151" i="6"/>
  <c r="L151" i="6"/>
  <c r="I151" i="6"/>
  <c r="J151" i="6" s="1"/>
  <c r="K151" i="6" s="1"/>
  <c r="M152" i="6"/>
  <c r="L152" i="6"/>
  <c r="I152" i="6"/>
  <c r="J152" i="6" s="1"/>
  <c r="K152" i="6" s="1"/>
  <c r="M153" i="6"/>
  <c r="L153" i="6"/>
  <c r="I153" i="6"/>
  <c r="J153" i="6" s="1"/>
  <c r="K153" i="6" s="1"/>
  <c r="M154" i="6"/>
  <c r="L154" i="6"/>
  <c r="I154" i="6"/>
  <c r="J154" i="6" s="1"/>
  <c r="K154" i="6" s="1"/>
  <c r="M155" i="6"/>
  <c r="L155" i="6"/>
  <c r="I155" i="6"/>
  <c r="J155" i="6" s="1"/>
  <c r="K155" i="6" s="1"/>
  <c r="M156" i="6"/>
  <c r="L156" i="6"/>
  <c r="I156" i="6"/>
  <c r="J156" i="6" s="1"/>
  <c r="K156" i="6" s="1"/>
  <c r="M157" i="6"/>
  <c r="L157" i="6"/>
  <c r="I157" i="6"/>
  <c r="J157" i="6" s="1"/>
  <c r="K157" i="6" s="1"/>
  <c r="M158" i="6"/>
  <c r="L158" i="6"/>
  <c r="I158" i="6"/>
  <c r="J158" i="6" s="1"/>
  <c r="K158" i="6" s="1"/>
  <c r="M159" i="6"/>
  <c r="L159" i="6"/>
  <c r="I159" i="6"/>
  <c r="J159" i="6" s="1"/>
  <c r="K159" i="6" s="1"/>
  <c r="M160" i="6"/>
  <c r="L160" i="6"/>
  <c r="I160" i="6"/>
  <c r="J160" i="6" s="1"/>
  <c r="K160" i="6" s="1"/>
  <c r="M161" i="6"/>
  <c r="L161" i="6"/>
  <c r="I161" i="6"/>
  <c r="J161" i="6" s="1"/>
  <c r="K161" i="6" s="1"/>
  <c r="M162" i="6"/>
  <c r="L162" i="6"/>
  <c r="I162" i="6"/>
  <c r="J162" i="6" s="1"/>
  <c r="K162" i="6" s="1"/>
  <c r="M163" i="6"/>
  <c r="L163" i="6"/>
  <c r="I163" i="6"/>
  <c r="J163" i="6" s="1"/>
  <c r="K163" i="6" s="1"/>
  <c r="M164" i="6"/>
  <c r="L164" i="6"/>
  <c r="I164" i="6"/>
  <c r="J164" i="6" s="1"/>
  <c r="K164" i="6" s="1"/>
  <c r="M165" i="6"/>
  <c r="L165" i="6"/>
  <c r="I165" i="6"/>
  <c r="J165" i="6" s="1"/>
  <c r="K165" i="6" s="1"/>
  <c r="M166" i="6"/>
  <c r="L166" i="6"/>
  <c r="I166" i="6"/>
  <c r="J166" i="6" s="1"/>
  <c r="K166" i="6" s="1"/>
  <c r="M167" i="6"/>
  <c r="L167" i="6"/>
  <c r="I167" i="6"/>
  <c r="J167" i="6" s="1"/>
  <c r="K167" i="6" s="1"/>
  <c r="M168" i="6"/>
  <c r="L168" i="6"/>
  <c r="I168" i="6"/>
  <c r="J168" i="6" s="1"/>
  <c r="K168" i="6" s="1"/>
  <c r="M169" i="6"/>
  <c r="L169" i="6"/>
  <c r="I169" i="6"/>
  <c r="J169" i="6" s="1"/>
  <c r="K169" i="6" s="1"/>
  <c r="M170" i="6"/>
  <c r="L170" i="6"/>
  <c r="I170" i="6"/>
  <c r="J170" i="6" s="1"/>
  <c r="K170" i="6" s="1"/>
  <c r="M171" i="6"/>
  <c r="L171" i="6"/>
  <c r="I171" i="6"/>
  <c r="J171" i="6" s="1"/>
  <c r="K171" i="6" s="1"/>
  <c r="M172" i="6"/>
  <c r="L172" i="6"/>
  <c r="I172" i="6"/>
  <c r="J172" i="6" s="1"/>
  <c r="K172" i="6" s="1"/>
  <c r="M173" i="6"/>
  <c r="L173" i="6"/>
  <c r="I173" i="6"/>
  <c r="J173" i="6" s="1"/>
  <c r="K173" i="6" s="1"/>
  <c r="M174" i="6"/>
  <c r="L174" i="6"/>
  <c r="I174" i="6"/>
  <c r="J174" i="6" s="1"/>
  <c r="K174" i="6" s="1"/>
  <c r="M175" i="6"/>
  <c r="L175" i="6"/>
  <c r="I175" i="6"/>
  <c r="J175" i="6" s="1"/>
  <c r="K175" i="6" s="1"/>
  <c r="M176" i="6"/>
  <c r="L176" i="6"/>
  <c r="I176" i="6"/>
  <c r="J176" i="6" s="1"/>
  <c r="K176" i="6" s="1"/>
  <c r="M177" i="6"/>
  <c r="L177" i="6"/>
  <c r="I177" i="6"/>
  <c r="J177" i="6" s="1"/>
  <c r="K177" i="6" s="1"/>
  <c r="M178" i="6"/>
  <c r="L178" i="6"/>
  <c r="I178" i="6"/>
  <c r="J178" i="6" s="1"/>
  <c r="K178" i="6" s="1"/>
  <c r="M179" i="6"/>
  <c r="L179" i="6"/>
  <c r="I179" i="6"/>
  <c r="J179" i="6" s="1"/>
  <c r="K179" i="6" s="1"/>
  <c r="M180" i="6"/>
  <c r="L180" i="6"/>
  <c r="I180" i="6"/>
  <c r="J180" i="6" s="1"/>
  <c r="K180" i="6" s="1"/>
  <c r="M181" i="6"/>
  <c r="L181" i="6"/>
  <c r="I181" i="6"/>
  <c r="J181" i="6" s="1"/>
  <c r="K181" i="6" s="1"/>
  <c r="M182" i="6"/>
  <c r="L182" i="6"/>
  <c r="I182" i="6"/>
  <c r="J182" i="6" s="1"/>
  <c r="K182" i="6" s="1"/>
  <c r="M183" i="6"/>
  <c r="L183" i="6"/>
  <c r="I183" i="6"/>
  <c r="J183" i="6" s="1"/>
  <c r="K183" i="6" s="1"/>
  <c r="M184" i="6"/>
  <c r="L184" i="6"/>
  <c r="I184" i="6"/>
  <c r="J184" i="6" s="1"/>
  <c r="K184" i="6" s="1"/>
  <c r="M185" i="6"/>
  <c r="L185" i="6"/>
  <c r="I185" i="6"/>
  <c r="J185" i="6" s="1"/>
  <c r="K185" i="6" s="1"/>
  <c r="M186" i="6"/>
  <c r="L186" i="6"/>
  <c r="I186" i="6"/>
  <c r="J186" i="6" s="1"/>
  <c r="K186" i="6" s="1"/>
  <c r="M187" i="6"/>
  <c r="L187" i="6"/>
  <c r="I187" i="6"/>
  <c r="J187" i="6" s="1"/>
  <c r="K187" i="6" s="1"/>
  <c r="M188" i="6"/>
  <c r="L188" i="6"/>
  <c r="I188" i="6"/>
  <c r="J188" i="6" s="1"/>
  <c r="K188" i="6" s="1"/>
  <c r="M189" i="6"/>
  <c r="L189" i="6"/>
  <c r="I189" i="6"/>
  <c r="J189" i="6" s="1"/>
  <c r="K189" i="6" s="1"/>
  <c r="M190" i="6"/>
  <c r="L190" i="6"/>
  <c r="I190" i="6"/>
  <c r="J190" i="6" s="1"/>
  <c r="K190" i="6" s="1"/>
  <c r="M191" i="6"/>
  <c r="L191" i="6"/>
  <c r="I191" i="6"/>
  <c r="J191" i="6" s="1"/>
  <c r="K191" i="6" s="1"/>
  <c r="M192" i="6"/>
  <c r="L192" i="6"/>
  <c r="I192" i="6"/>
  <c r="J192" i="6" s="1"/>
  <c r="K192" i="6" s="1"/>
  <c r="M193" i="6"/>
  <c r="L193" i="6"/>
  <c r="I193" i="6"/>
  <c r="J193" i="6" s="1"/>
  <c r="K193" i="6" s="1"/>
  <c r="M194" i="6"/>
  <c r="L194" i="6"/>
  <c r="I194" i="6"/>
  <c r="J194" i="6" s="1"/>
  <c r="K194" i="6" s="1"/>
  <c r="M195" i="6"/>
  <c r="L195" i="6"/>
  <c r="I195" i="6"/>
  <c r="J195" i="6" s="1"/>
  <c r="K195" i="6" s="1"/>
  <c r="M196" i="6"/>
  <c r="L196" i="6"/>
  <c r="I196" i="6"/>
  <c r="J196" i="6" s="1"/>
  <c r="K196" i="6" s="1"/>
  <c r="M197" i="6"/>
  <c r="L197" i="6"/>
  <c r="I197" i="6"/>
  <c r="J197" i="6" s="1"/>
  <c r="K197" i="6" s="1"/>
  <c r="M198" i="6"/>
  <c r="L198" i="6"/>
  <c r="I198" i="6"/>
  <c r="J198" i="6" s="1"/>
  <c r="K198" i="6" s="1"/>
  <c r="M199" i="6"/>
  <c r="L199" i="6"/>
  <c r="I199" i="6"/>
  <c r="J199" i="6" s="1"/>
  <c r="K199" i="6" s="1"/>
  <c r="M200" i="6"/>
  <c r="L200" i="6"/>
  <c r="I200" i="6"/>
  <c r="J200" i="6" s="1"/>
  <c r="K200" i="6" s="1"/>
  <c r="M201" i="6"/>
  <c r="L201" i="6"/>
  <c r="I201" i="6"/>
  <c r="J201" i="6" s="1"/>
  <c r="K201" i="6" s="1"/>
  <c r="M202" i="6"/>
  <c r="L202" i="6"/>
  <c r="I202" i="6"/>
  <c r="J202" i="6" s="1"/>
  <c r="K202" i="6" s="1"/>
  <c r="M203" i="6"/>
  <c r="L203" i="6"/>
  <c r="I203" i="6"/>
  <c r="J203" i="6" s="1"/>
  <c r="K203" i="6" s="1"/>
  <c r="M204" i="6"/>
  <c r="L204" i="6"/>
  <c r="I204" i="6"/>
  <c r="J204" i="6" s="1"/>
  <c r="K204" i="6" s="1"/>
  <c r="M205" i="6"/>
  <c r="L205" i="6"/>
  <c r="I205" i="6"/>
  <c r="J205" i="6" s="1"/>
  <c r="K205" i="6" s="1"/>
  <c r="M206" i="6"/>
  <c r="L206" i="6"/>
  <c r="I206" i="6"/>
  <c r="J206" i="6" s="1"/>
  <c r="K206" i="6" s="1"/>
  <c r="M207" i="6"/>
  <c r="L207" i="6"/>
  <c r="I207" i="6"/>
  <c r="J207" i="6" s="1"/>
  <c r="K207" i="6" s="1"/>
  <c r="M208" i="6"/>
  <c r="L208" i="6"/>
  <c r="I208" i="6"/>
  <c r="J208" i="6" s="1"/>
  <c r="K208" i="6" s="1"/>
  <c r="M209" i="6"/>
  <c r="L209" i="6"/>
  <c r="I209" i="6"/>
  <c r="J209" i="6" s="1"/>
  <c r="K209" i="6" s="1"/>
  <c r="M210" i="6"/>
  <c r="L210" i="6"/>
  <c r="I210" i="6"/>
  <c r="J210" i="6" s="1"/>
  <c r="K210" i="6" s="1"/>
</calcChain>
</file>

<file path=xl/sharedStrings.xml><?xml version="1.0" encoding="utf-8"?>
<sst xmlns="http://schemas.openxmlformats.org/spreadsheetml/2006/main" count="837" uniqueCount="603">
  <si>
    <t>CLIENTE</t>
  </si>
  <si>
    <t>FECHA</t>
  </si>
  <si>
    <t>TIPO</t>
  </si>
  <si>
    <t>FRECUENCIA</t>
  </si>
  <si>
    <t>VALOR_CUOTA</t>
  </si>
  <si>
    <t>SALDO</t>
  </si>
  <si>
    <t>TOTAL</t>
  </si>
  <si>
    <t>PAGO</t>
  </si>
  <si>
    <t>PROXIMO VENCIMIENTO</t>
  </si>
  <si>
    <t>DIAS P/ VENCER</t>
  </si>
  <si>
    <t>ESTADO</t>
  </si>
  <si>
    <t>CUOTAS PAGADAS</t>
  </si>
  <si>
    <t>CUOTAS RESTANTES</t>
  </si>
  <si>
    <t>cred</t>
  </si>
  <si>
    <t xml:space="preserve">usio cristian play  miercoles </t>
  </si>
  <si>
    <t xml:space="preserve">heredia yamila heladera sabado </t>
  </si>
  <si>
    <t>marcela mansilla lava domingo</t>
  </si>
  <si>
    <t>alberto p moreno ef sabado</t>
  </si>
  <si>
    <t>sale picoteo lava enova 7,5</t>
  </si>
  <si>
    <t>edu medina combo</t>
  </si>
  <si>
    <t>mabel guerra martes ef</t>
  </si>
  <si>
    <t>ludmila silva celu a5 jueves</t>
  </si>
  <si>
    <t>jose brizuela aire/c miercoles</t>
  </si>
  <si>
    <t xml:space="preserve">adrian arola celular </t>
  </si>
  <si>
    <t>noelia piray hela jueves</t>
  </si>
  <si>
    <t>caty lagarreta somier jueves</t>
  </si>
  <si>
    <t>noelia piray cocina miercoles</t>
  </si>
  <si>
    <t>nestor mendoza somier sabado</t>
  </si>
  <si>
    <t>victor figueredo sabado freez</t>
  </si>
  <si>
    <t>maria fernandez sabado lavarr</t>
  </si>
  <si>
    <t>gladis helad sabado</t>
  </si>
  <si>
    <t>suni samudio sabado celu</t>
  </si>
  <si>
    <t>c/p</t>
  </si>
  <si>
    <t>c/res</t>
  </si>
  <si>
    <t>garcia lujan lavarr viernes</t>
  </si>
  <si>
    <t>lautaro hierrosur lavarr miercoles</t>
  </si>
  <si>
    <t>lautaro esquivel helad miercoles</t>
  </si>
  <si>
    <t>vero e dig ef  miercoles</t>
  </si>
  <si>
    <t xml:space="preserve">chamorro estefania lava </t>
  </si>
  <si>
    <t>maria morlio cocina sabado</t>
  </si>
  <si>
    <t>salas soledad exibid miercoles</t>
  </si>
  <si>
    <t>gustavo silva hela sabado</t>
  </si>
  <si>
    <t>yesica caserito tv 65 viernes</t>
  </si>
  <si>
    <t>res</t>
  </si>
  <si>
    <t>ftgdfgds</t>
  </si>
  <si>
    <t>lopez ramon tv43 sabado</t>
  </si>
  <si>
    <t>elias insaurralde lava sabado</t>
  </si>
  <si>
    <t>sandra melian tv 43 sabado</t>
  </si>
  <si>
    <t>vero arce somier viernes</t>
  </si>
  <si>
    <t>soledad salas lava viernes</t>
  </si>
  <si>
    <t>cintia barris hela midea</t>
  </si>
  <si>
    <t>mauricio luna bici dread</t>
  </si>
  <si>
    <t xml:space="preserve">lobo heladera </t>
  </si>
  <si>
    <t>mabel guerra hna</t>
  </si>
  <si>
    <t>paola rodriguez hela</t>
  </si>
  <si>
    <t xml:space="preserve">maru guarepi </t>
  </si>
  <si>
    <t>marta sandoval unif</t>
  </si>
  <si>
    <t>silva oscar freezer</t>
  </si>
  <si>
    <t>hugo ocampo suni</t>
  </si>
  <si>
    <t>fabio ocampo</t>
  </si>
  <si>
    <t>daniel albañil combo</t>
  </si>
  <si>
    <t>alejandro gimenez hela</t>
  </si>
  <si>
    <t>emilio bautista neba 300y</t>
  </si>
  <si>
    <t>ana torres hela</t>
  </si>
  <si>
    <t>lucho lopez tv enova 50</t>
  </si>
  <si>
    <t>nelida ester reunif 3 cred</t>
  </si>
  <si>
    <t>sale picoteo ef</t>
  </si>
  <si>
    <t>ocampo suni</t>
  </si>
  <si>
    <t>susana monzon freezer</t>
  </si>
  <si>
    <t>esteban alarcon celu</t>
  </si>
  <si>
    <t>maxi nelida ef</t>
  </si>
  <si>
    <t>pitu ef</t>
  </si>
  <si>
    <t>diamela etchar tv 65</t>
  </si>
  <si>
    <t>ema carnicero somier</t>
  </si>
  <si>
    <t>andrea panizza tv 65</t>
  </si>
  <si>
    <t>silvero hela philco</t>
  </si>
  <si>
    <t>silvia mks aire</t>
  </si>
  <si>
    <t>rios milagros hel philc</t>
  </si>
  <si>
    <t>paz marcelo cocina</t>
  </si>
  <si>
    <t>rodriguez gabriela exib</t>
  </si>
  <si>
    <t>braian romano hela</t>
  </si>
  <si>
    <t>nahuel carrizo tv y cocina</t>
  </si>
  <si>
    <t>casafuti</t>
  </si>
  <si>
    <t>lucas sanchez horno</t>
  </si>
  <si>
    <t>priscila etchard tv 65</t>
  </si>
  <si>
    <t>maximiliano gonzalez somier</t>
  </si>
  <si>
    <t>nador malcom oski parlante</t>
  </si>
  <si>
    <t>william paz andrea aire</t>
  </si>
  <si>
    <t>rivas sebastian</t>
  </si>
  <si>
    <t>lopez jesus papa pileta</t>
  </si>
  <si>
    <t>walter autodromo hela enova</t>
  </si>
  <si>
    <t>ema carnicero iphone</t>
  </si>
  <si>
    <t>naty parri 42 ef</t>
  </si>
  <si>
    <t>angela careaga frez uni</t>
  </si>
  <si>
    <t>rocio peryra aire pio</t>
  </si>
  <si>
    <t>veronica peligro aire</t>
  </si>
  <si>
    <t>hija veronica peligro exib</t>
  </si>
  <si>
    <t>ines nievas freez aire</t>
  </si>
  <si>
    <t>marcia bici pileta</t>
  </si>
  <si>
    <t>adriana delgado ef</t>
  </si>
  <si>
    <t>sandra lezcano aire</t>
  </si>
  <si>
    <t>debora hijo pileta</t>
  </si>
  <si>
    <t>jose zarate tv enova 50</t>
  </si>
  <si>
    <t>jose luis fernandez unif</t>
  </si>
  <si>
    <t>juan zotelo bici fire</t>
  </si>
  <si>
    <t>edu maidana parlante</t>
  </si>
  <si>
    <t>ivan martinez hela</t>
  </si>
  <si>
    <t>gustavo fernandez aire</t>
  </si>
  <si>
    <t>juan marcelo aire pavon</t>
  </si>
  <si>
    <t>silvia pardo unif</t>
  </si>
  <si>
    <t>rosana mesa usman plan</t>
  </si>
  <si>
    <t>silvana acosta freezer 180</t>
  </si>
  <si>
    <t>ruth ef</t>
  </si>
  <si>
    <t>horacio romero moto 15</t>
  </si>
  <si>
    <t>joan gaitan aire vargas</t>
  </si>
  <si>
    <t>enrique medina lava 8k mensu</t>
  </si>
  <si>
    <t>norma castillo tv 50 noblex</t>
  </si>
  <si>
    <t xml:space="preserve">romina natalino </t>
  </si>
  <si>
    <t xml:space="preserve">jesus lopez heladera </t>
  </si>
  <si>
    <t>lobo herrera</t>
  </si>
  <si>
    <t>jorge bucek tv enova 50</t>
  </si>
  <si>
    <t>david berloch heladera unif</t>
  </si>
  <si>
    <t>jennifer herrera freezer ou</t>
  </si>
  <si>
    <t xml:space="preserve">cristian maidana aire </t>
  </si>
  <si>
    <t>paula pucheta unif</t>
  </si>
  <si>
    <t xml:space="preserve">retamar herminio sommer </t>
  </si>
  <si>
    <t>ezequiel galarza heladera</t>
  </si>
  <si>
    <t xml:space="preserve">etel guernica </t>
  </si>
  <si>
    <t>ezequiel granja</t>
  </si>
  <si>
    <t>natasha delgado helade</t>
  </si>
  <si>
    <t xml:space="preserve">silvia mks eft </t>
  </si>
  <si>
    <t>nicolas apolo lava columbia</t>
  </si>
  <si>
    <t>lucas sanchez aa pionner</t>
  </si>
  <si>
    <t>jesica herrera mama tv 50</t>
  </si>
  <si>
    <t>gladis granja 460</t>
  </si>
  <si>
    <t>cintia tocho unif</t>
  </si>
  <si>
    <t>pablo cintia unif</t>
  </si>
  <si>
    <t>erik + aldana cintia unif</t>
  </si>
  <si>
    <t>maru guarepi bici maidana</t>
  </si>
  <si>
    <t>vero arce tv enova 50</t>
  </si>
  <si>
    <t>juan gordillo silla gamer</t>
  </si>
  <si>
    <t>piray lucia h240 belen</t>
  </si>
  <si>
    <t>anahi ortiz freeezer 400</t>
  </si>
  <si>
    <t>diego figueroa unif</t>
  </si>
  <si>
    <t>jose tapero ingletadora</t>
  </si>
  <si>
    <t>lucas sanchez herram</t>
  </si>
  <si>
    <t>laura perez lava enov 8kg</t>
  </si>
  <si>
    <t>maxi sandoval sommier</t>
  </si>
  <si>
    <t xml:space="preserve">guillerno leyes dabon </t>
  </si>
  <si>
    <t xml:space="preserve">johana lezcano cocina candor </t>
  </si>
  <si>
    <t>araujo geronimo som+tv 43</t>
  </si>
  <si>
    <t>victor figueredo exib pionner</t>
  </si>
  <si>
    <t>juan pereyra tv 50</t>
  </si>
  <si>
    <t>juan pereyra bici 29</t>
  </si>
  <si>
    <t>delcidio ojeda bici</t>
  </si>
  <si>
    <t>gardel ariel aire pionn vent</t>
  </si>
  <si>
    <t>miriam aguirre aire enova</t>
  </si>
  <si>
    <t>edu medina silla+mesa</t>
  </si>
  <si>
    <t>susana la carolina bici grav</t>
  </si>
  <si>
    <t>milagros samudio tv samsung 50</t>
  </si>
  <si>
    <t>marta miranda zotelo sommier</t>
  </si>
  <si>
    <t>ezequiel granja heladera</t>
  </si>
  <si>
    <t>carina gamarra ef</t>
  </si>
  <si>
    <t>alexis martinez a16</t>
  </si>
  <si>
    <t>lucas malaquias tv 50 bgh</t>
  </si>
  <si>
    <t>claudia rios hela enova 249</t>
  </si>
  <si>
    <t>silvia leguiza tv enova 32</t>
  </si>
  <si>
    <t>gustavo guerra a16 chavez</t>
  </si>
  <si>
    <t>ariel cajal</t>
  </si>
  <si>
    <t>samuel chitay unif</t>
  </si>
  <si>
    <t>Matias fariña tv bgh 50</t>
  </si>
  <si>
    <t xml:space="preserve"> perez lionela 15C  lunes </t>
  </si>
  <si>
    <t>ariel vazquez neba 283</t>
  </si>
  <si>
    <t>alicia lopez  ponce</t>
  </si>
  <si>
    <t>daniel jara valija herr</t>
  </si>
  <si>
    <t>teresa arnelli ef</t>
  </si>
  <si>
    <t>poli ortiz unificado</t>
  </si>
  <si>
    <t>daniela rivero tv 50 oulet</t>
  </si>
  <si>
    <t>mirta mesa bici dabom</t>
  </si>
  <si>
    <t xml:space="preserve">susana gimanez </t>
  </si>
  <si>
    <t>rosa martinez coc+ horno</t>
  </si>
  <si>
    <t>nestor mendoza dabom</t>
  </si>
  <si>
    <t>hoyos solis ester freez 402</t>
  </si>
  <si>
    <t>gabriel pascua tv 43 oulet</t>
  </si>
  <si>
    <t>ponce alicia sommier</t>
  </si>
  <si>
    <t>victor diaz dread pro</t>
  </si>
  <si>
    <t>natalia maidana hela sm</t>
  </si>
  <si>
    <t>sebastian fernandez exib pion</t>
  </si>
  <si>
    <t>graciela buiatti bici dabom</t>
  </si>
  <si>
    <t>marcelo linares ef</t>
  </si>
  <si>
    <t>carina farfan ef</t>
  </si>
  <si>
    <t>ruben muñoz hela columbia</t>
  </si>
  <si>
    <t>matias molina ef</t>
  </si>
  <si>
    <t>ramon escobar tv 50 nobl</t>
  </si>
  <si>
    <t>lagos romina eno 8k g</t>
  </si>
  <si>
    <t>jony autodro aire rca 2600</t>
  </si>
  <si>
    <t>ruiz diaz graciela exib pionner</t>
  </si>
  <si>
    <t>alan hierro sur dread pro</t>
  </si>
  <si>
    <t>bovone veronica tcl 43oul</t>
  </si>
  <si>
    <t>blanca perez tv 43 oulet noblex</t>
  </si>
  <si>
    <t>daiana villegas koinoor6,5</t>
  </si>
  <si>
    <t>leyes daniela a17</t>
  </si>
  <si>
    <t>maia abril soto tv 43 oulet</t>
  </si>
  <si>
    <t>silvia mks aire portatil</t>
  </si>
  <si>
    <t>rosa chavez ef</t>
  </si>
  <si>
    <t>claudia rios pris tv 32 oulet</t>
  </si>
  <si>
    <t>valeria cuellar ef</t>
  </si>
  <si>
    <t>amanda torres ef</t>
  </si>
  <si>
    <t>angela careaga set conan</t>
  </si>
  <si>
    <t>rebeca bustamante tv43 oulet</t>
  </si>
  <si>
    <t>sosa maria hela enova 348</t>
  </si>
  <si>
    <t>sandra lezcano bici danke</t>
  </si>
  <si>
    <t xml:space="preserve">beto cruz eft </t>
  </si>
  <si>
    <t>nicolas garcia tv tcl 43 oul</t>
  </si>
  <si>
    <t>miguel cabada ef</t>
  </si>
  <si>
    <t xml:space="preserve">horacio romero parlante </t>
  </si>
  <si>
    <t>rodriguez jonas hela smart 354</t>
  </si>
  <si>
    <t>sabrina valencia realme</t>
  </si>
  <si>
    <t>carlos acosta hela enova</t>
  </si>
  <si>
    <t>pablo cintia tv 43 bgh oulet</t>
  </si>
  <si>
    <t>mariana apasa hela smart 240</t>
  </si>
  <si>
    <t>ana torres bici dabom</t>
  </si>
  <si>
    <t>linchez ref</t>
  </si>
  <si>
    <t>kania luna tv 32 oulet</t>
  </si>
  <si>
    <t>magali ramirez ef</t>
  </si>
  <si>
    <t>daniela guerra a05 redmi</t>
  </si>
  <si>
    <t>priscila etchar escorial cand</t>
  </si>
  <si>
    <t xml:space="preserve">veronica alvarenga </t>
  </si>
  <si>
    <t xml:space="preserve">matias picoteo hijo </t>
  </si>
  <si>
    <t xml:space="preserve">gustavo silva redmi a5 </t>
  </si>
  <si>
    <t>miriam+gilda refinanciamiento</t>
  </si>
  <si>
    <t>cristina lugo casasola ef</t>
  </si>
  <si>
    <t>virginia maza celu</t>
  </si>
  <si>
    <t>franco padron combo amo+tal</t>
  </si>
  <si>
    <t>benitez miguel sommier</t>
  </si>
  <si>
    <t>jona garro sommier</t>
  </si>
  <si>
    <t>victor vargas ef</t>
  </si>
  <si>
    <t>hector ruben albañil 3 prod</t>
  </si>
  <si>
    <t>daiana mujer tito</t>
  </si>
  <si>
    <t>romero martin moto g04</t>
  </si>
  <si>
    <t>nestor patagonia ef</t>
  </si>
  <si>
    <t>flor cuellar ef</t>
  </si>
  <si>
    <t>carlos esteche ef</t>
  </si>
  <si>
    <t>maria fernanda unif</t>
  </si>
  <si>
    <t>lucas sanchez santiago</t>
  </si>
  <si>
    <t xml:space="preserve">martinez/lopez rosa </t>
  </si>
  <si>
    <t>nacho usman +mesa</t>
  </si>
  <si>
    <t>ponce alicia bici</t>
  </si>
  <si>
    <t>poli ortiz ef</t>
  </si>
  <si>
    <t>franco santo boom10</t>
  </si>
  <si>
    <t>adrian torres lava enov 8kg</t>
  </si>
  <si>
    <t>lionel ramirez notebock</t>
  </si>
  <si>
    <t xml:space="preserve">gugliara luciana somier </t>
  </si>
  <si>
    <t>noelia ortiz somm purpple</t>
  </si>
  <si>
    <t>daiana vazquez 2 celus unif</t>
  </si>
  <si>
    <t>maria ortiz somm+cocina</t>
  </si>
  <si>
    <t>liliana benitez celu enovas</t>
  </si>
  <si>
    <t>maria sosa hijo coc+hela hijo</t>
  </si>
  <si>
    <t xml:space="preserve">acosta jara silvana placard </t>
  </si>
  <si>
    <t>da via samanta bici gravity</t>
  </si>
  <si>
    <t>lionel ramirez unif</t>
  </si>
  <si>
    <t>oscar carnicero ef hijo</t>
  </si>
  <si>
    <t>,laura ruiz dias somm 2pl</t>
  </si>
  <si>
    <t>.luis chiara amol+talad</t>
  </si>
  <si>
    <t>kevin mansilla moto g04.</t>
  </si>
  <si>
    <t>julio gonzalez hidro aspi.</t>
  </si>
  <si>
    <t>oliveira alejandrina bici.</t>
  </si>
  <si>
    <t>claudia garcia dabom.</t>
  </si>
  <si>
    <t xml:space="preserve">mariana monzon somier </t>
  </si>
  <si>
    <t xml:space="preserve">ruiz diaz graciela colchon </t>
  </si>
  <si>
    <t xml:space="preserve">abigail leguiza 2 bici </t>
  </si>
  <si>
    <t>osvaldo ortiz iphone 17</t>
  </si>
  <si>
    <t>walter chapista eft</t>
  </si>
  <si>
    <t>cristian usio ef</t>
  </si>
  <si>
    <t>kiosco luz ef</t>
  </si>
  <si>
    <t>miriam salas freez enova</t>
  </si>
  <si>
    <t>leonardo david ef</t>
  </si>
  <si>
    <t>andrea gimenez ef</t>
  </si>
  <si>
    <t>valeria olmedo hela col</t>
  </si>
  <si>
    <t>edu medina ef</t>
  </si>
  <si>
    <t>sanchez franco freez enov 199</t>
  </si>
  <si>
    <t>romero edgar termo</t>
  </si>
  <si>
    <t>matias fariña enova n51</t>
  </si>
  <si>
    <t>cristian primo jara</t>
  </si>
  <si>
    <t>luciano salvatierra herra ,</t>
  </si>
  <si>
    <t>edu morona ef</t>
  </si>
  <si>
    <t>nelida aguirre bici 16</t>
  </si>
  <si>
    <t>fer herrera tv 50 futura</t>
  </si>
  <si>
    <t>gustavo bellisi ef</t>
  </si>
  <si>
    <t>juan zotelo bici b one</t>
  </si>
  <si>
    <t>etel suegra mario romero</t>
  </si>
  <si>
    <t>agustin ojeda</t>
  </si>
  <si>
    <t>rodolfo apolo ef</t>
  </si>
  <si>
    <t>elias chitay feez enov 299</t>
  </si>
  <si>
    <t>horacio romero coc esc master</t>
  </si>
  <si>
    <t>anahi brida  tv bgh 43</t>
  </si>
  <si>
    <t>jaqueline esquivel ef</t>
  </si>
  <si>
    <t>andrea paniza</t>
  </si>
  <si>
    <t>ariel enriquez a 17</t>
  </si>
  <si>
    <t>sebastian rivas a 17</t>
  </si>
  <si>
    <t>veronica rocchio ef</t>
  </si>
  <si>
    <t>fabiana rojas ef</t>
  </si>
  <si>
    <t>solis brisa hela col 257</t>
  </si>
  <si>
    <t>juan cruz choque poco c85</t>
  </si>
  <si>
    <t>fany figueredo lava col 10kg</t>
  </si>
  <si>
    <t>esteban alarcon sams a16</t>
  </si>
  <si>
    <t>sandra melian somm eclip</t>
  </si>
  <si>
    <t>virginia maza bici praga 29</t>
  </si>
  <si>
    <t>ezequiel garcia tv enov 43</t>
  </si>
  <si>
    <t>cintia sofia poco c71</t>
  </si>
  <si>
    <t>maria etchar aspiradora</t>
  </si>
  <si>
    <t>hernan autod 1320vt</t>
  </si>
  <si>
    <t>hija sandra melian lucia</t>
  </si>
  <si>
    <t>axel pavon somm purple</t>
  </si>
  <si>
    <t>carina gamarra lavarrop</t>
  </si>
  <si>
    <t>daiana tito som+pava</t>
  </si>
  <si>
    <t>micaela bareiro ef</t>
  </si>
  <si>
    <t>poli amigo ef</t>
  </si>
  <si>
    <t>lucia gamarra ef</t>
  </si>
  <si>
    <t xml:space="preserve">lautaro arguello ef </t>
  </si>
  <si>
    <t xml:space="preserve">leticia zuni </t>
  </si>
  <si>
    <t xml:space="preserve">anahi brida silguero maria </t>
  </si>
  <si>
    <t>ema cuellar ef</t>
  </si>
  <si>
    <t>vero el peligro grupo elec</t>
  </si>
  <si>
    <t>jorge nuñez horno 50</t>
  </si>
  <si>
    <t>rocio casasola bici randers</t>
  </si>
  <si>
    <t>paulo ramirez bici 20</t>
  </si>
  <si>
    <t>sebastian hierro sur a17</t>
  </si>
  <si>
    <t>maria gonzalez notebook</t>
  </si>
  <si>
    <t>alicia lopez hidro</t>
  </si>
  <si>
    <t>cristian nuñez a16</t>
  </si>
  <si>
    <t>guarda maximiliano ef</t>
  </si>
  <si>
    <t>soledad bertoloti ef</t>
  </si>
  <si>
    <t>sale picoteo sill+gazebo</t>
  </si>
  <si>
    <t>irina quimey freezer ovando</t>
  </si>
  <si>
    <t>oscar andres vega enov 50"</t>
  </si>
  <si>
    <t xml:space="preserve">escobar andrea </t>
  </si>
  <si>
    <t>rosa morona bici dread</t>
  </si>
  <si>
    <t>rebeca bustamante kit</t>
  </si>
  <si>
    <t>lucas sanchez grupo leo</t>
  </si>
  <si>
    <t>susana la carolina colch</t>
  </si>
  <si>
    <t>malena rivas ef</t>
  </si>
  <si>
    <t>maxi alfaro microo 23lts</t>
  </si>
  <si>
    <t>santiago miño celu q30+redmi</t>
  </si>
  <si>
    <t>hernan lavadero dread</t>
  </si>
  <si>
    <t>jesica more usman 4777</t>
  </si>
  <si>
    <t>hernan autod freidora</t>
  </si>
  <si>
    <t>narciso caceres termotanque</t>
  </si>
  <si>
    <t>gomez cristian m sosa a16</t>
  </si>
  <si>
    <t>ramon lopez somm+placard</t>
  </si>
  <si>
    <t>lucas malaquias ef</t>
  </si>
  <si>
    <t>susana monzon ef</t>
  </si>
  <si>
    <t>alex pietrosanti hela mid</t>
  </si>
  <si>
    <t xml:space="preserve">karen papalardo eft </t>
  </si>
  <si>
    <t xml:space="preserve">cred </t>
  </si>
  <si>
    <t xml:space="preserve">gustavo troche </t>
  </si>
  <si>
    <t>juliana cuellar b one</t>
  </si>
  <si>
    <t>marcelo clar somm</t>
  </si>
  <si>
    <t>cintia las 3 nenas gravity</t>
  </si>
  <si>
    <t>cristian brustia a16</t>
  </si>
  <si>
    <t>german paniza a16</t>
  </si>
  <si>
    <t>carlos acosta ef</t>
  </si>
  <si>
    <t>noemi cardozo lopez som</t>
  </si>
  <si>
    <t>lucas keberlein reunificado</t>
  </si>
  <si>
    <t>edgar romero coronel</t>
  </si>
  <si>
    <t>franco perez ef</t>
  </si>
  <si>
    <t>emilce maciel tv 43 oulet</t>
  </si>
  <si>
    <t>ariel albornoz ef</t>
  </si>
  <si>
    <t xml:space="preserve">marcelo ottonelo </t>
  </si>
  <si>
    <t>luis gimenez bat planet</t>
  </si>
  <si>
    <t>nelly ortellano kit amo+talad</t>
  </si>
  <si>
    <t>gomez luis g15+c71</t>
  </si>
  <si>
    <t>cintia las 3 nenas europraga</t>
  </si>
  <si>
    <t>sol galvan tv futura 43</t>
  </si>
  <si>
    <t>junior zotelo europraga</t>
  </si>
  <si>
    <t>samuel prieto a16</t>
  </si>
  <si>
    <t>mirta ramirez horno 70 pionn</t>
  </si>
  <si>
    <t>marcela mansilla hela col</t>
  </si>
  <si>
    <t>damian obes g15</t>
  </si>
  <si>
    <t>molina jorgelina tv enov 50</t>
  </si>
  <si>
    <t>alfredo guerr zotelo vent luqss</t>
  </si>
  <si>
    <t>moreira roque dread pro</t>
  </si>
  <si>
    <t>fernando belizan mons+tablet</t>
  </si>
  <si>
    <t xml:space="preserve">valiente julieta eft </t>
  </si>
  <si>
    <t>darian medina/ todo</t>
  </si>
  <si>
    <t>teresa santos</t>
  </si>
  <si>
    <t xml:space="preserve">noelia machado </t>
  </si>
  <si>
    <t>yamila ledezma bic +cocina uni</t>
  </si>
  <si>
    <t>martinez mario sommier</t>
  </si>
  <si>
    <t>carlos destefano somm 1y1/2</t>
  </si>
  <si>
    <t>andrea pereyra freid ceco</t>
  </si>
  <si>
    <t>juan zotelo hidrolavad</t>
  </si>
  <si>
    <t>dario villanueva smmier ecl</t>
  </si>
  <si>
    <t>jose tapero note 60</t>
  </si>
  <si>
    <t>german rivas moto g14 masia</t>
  </si>
  <si>
    <t>raquel + miguel unif</t>
  </si>
  <si>
    <t>laura arguello unif</t>
  </si>
  <si>
    <t>sol portal freidora</t>
  </si>
  <si>
    <t>graciela romero horno 1500</t>
  </si>
  <si>
    <t>veronica sambrana usman</t>
  </si>
  <si>
    <t>javier el peligro usman</t>
  </si>
  <si>
    <t>ramon zapata bici 20"</t>
  </si>
  <si>
    <t>fer herrera parlante</t>
  </si>
  <si>
    <t>salome g14</t>
  </si>
  <si>
    <t>ludmila herrera ef</t>
  </si>
  <si>
    <t>daiana cuellar ef</t>
  </si>
  <si>
    <t>melina marioni tv 50 enov</t>
  </si>
  <si>
    <t>melina marioni lava mid 10kg</t>
  </si>
  <si>
    <t xml:space="preserve">alan garcia </t>
  </si>
  <si>
    <t>gustavo gonzalez q30</t>
  </si>
  <si>
    <t>vilma cuellar ef</t>
  </si>
  <si>
    <t>cristian marino ef</t>
  </si>
  <si>
    <t>william a 16</t>
  </si>
  <si>
    <t>lionela perez ef</t>
  </si>
  <si>
    <t>nahuel arguello camcolchbici</t>
  </si>
  <si>
    <t>lucas sanchez guille usmanpl</t>
  </si>
  <si>
    <t>paola carrizo ef poli</t>
  </si>
  <si>
    <t>juliana cuellar ef</t>
  </si>
  <si>
    <t>luis borja usman 4004</t>
  </si>
  <si>
    <t>mauro villagra note 14</t>
  </si>
  <si>
    <t>adolfo solis ef</t>
  </si>
  <si>
    <t>mks refi martin</t>
  </si>
  <si>
    <t>romero elias 15 c</t>
  </si>
  <si>
    <t>jaqueline esquivel seca+ ef</t>
  </si>
  <si>
    <t>lujan parri 42 note 14</t>
  </si>
  <si>
    <t>miriam salas ef</t>
  </si>
  <si>
    <t>estefania maza gravity</t>
  </si>
  <si>
    <t>diaz yanina ef</t>
  </si>
  <si>
    <t>fabricio pereyra ef</t>
  </si>
  <si>
    <t>kania luna candor</t>
  </si>
  <si>
    <t>fernando cabaña celu+ef</t>
  </si>
  <si>
    <t>esteban alarcon columbia 10kg</t>
  </si>
  <si>
    <t>jose ibaro tv43futura+tvbox</t>
  </si>
  <si>
    <t>sandra melian horno pio 60lts</t>
  </si>
  <si>
    <t>padre alarcon horno pio 50lts</t>
  </si>
  <si>
    <t>alejandrina oliveira set ollas</t>
  </si>
  <si>
    <t>celedonio gonzalez ef</t>
  </si>
  <si>
    <t>nancy vega lava enova 8kg gris</t>
  </si>
  <si>
    <t>leo mecanico ref n2</t>
  </si>
  <si>
    <t>oscar machado ef</t>
  </si>
  <si>
    <t>juan zotelo 1 pago</t>
  </si>
  <si>
    <t>juan zotelo desmalez</t>
  </si>
  <si>
    <t>jesica herrera mueble</t>
  </si>
  <si>
    <t>abril diaz ef</t>
  </si>
  <si>
    <t>ariel gardel termo philco</t>
  </si>
  <si>
    <t>lisa galeano ef</t>
  </si>
  <si>
    <t>gustavo fernandez tv 50 enova</t>
  </si>
  <si>
    <t>etchart micaela caminadora 200</t>
  </si>
  <si>
    <t>patricio moreira a06</t>
  </si>
  <si>
    <t>yamila palapolo b one</t>
  </si>
  <si>
    <t>natalia maidana a06</t>
  </si>
  <si>
    <t>leandro rodriguez tv 32 hundai</t>
  </si>
  <si>
    <t>matias otonelo colchon</t>
  </si>
  <si>
    <t>cristian brizueña ef</t>
  </si>
  <si>
    <t>lucas sanchez amoladora</t>
  </si>
  <si>
    <t>pamela diaz ef</t>
  </si>
  <si>
    <t>daniela rivero a 07</t>
  </si>
  <si>
    <t>jose ortiz 2sillas+mesa</t>
  </si>
  <si>
    <t>jimena rivas freezer</t>
  </si>
  <si>
    <t>jimena rivas licua midea</t>
  </si>
  <si>
    <t>sale picoteo exibidora</t>
  </si>
  <si>
    <t>alejandro gimenez freezer 310</t>
  </si>
  <si>
    <t>dilan rivas a16</t>
  </si>
  <si>
    <t>leandro fleitas ef</t>
  </si>
  <si>
    <t>agustina gonzalez lava drean</t>
  </si>
  <si>
    <t>marcos curbelo moto g 04</t>
  </si>
  <si>
    <t>maru guarepi</t>
  </si>
  <si>
    <t>maxi arguello tv + ef</t>
  </si>
  <si>
    <t>leonardo pascua tv oulet</t>
  </si>
  <si>
    <t>rocio casasola noteb</t>
  </si>
  <si>
    <t>alejandro martinez poli ef</t>
  </si>
  <si>
    <t>noelia ortiz moto g15</t>
  </si>
  <si>
    <t>daiana noemi cardozo lopez</t>
  </si>
  <si>
    <t>pablo palacios ef</t>
  </si>
  <si>
    <t>samudio sabino a 16</t>
  </si>
  <si>
    <t>luis gimenez dread pro</t>
  </si>
  <si>
    <t>sandra melian herram</t>
  </si>
  <si>
    <t>nico apolo desma</t>
  </si>
  <si>
    <t>gustavo silva tablet</t>
  </si>
  <si>
    <t>claudia home moto g 15</t>
  </si>
  <si>
    <t>erik yanel ef</t>
  </si>
  <si>
    <t>braian coronel moto g15</t>
  </si>
  <si>
    <t>rodrigo fernandez som pu</t>
  </si>
  <si>
    <t>gaston rajoy hela neba oulet</t>
  </si>
  <si>
    <t>aladio tomas tv 43 futura</t>
  </si>
  <si>
    <t>kevin mansilla tv 43 futura</t>
  </si>
  <si>
    <t>graciela garbarino desma</t>
  </si>
  <si>
    <t>juan masuello ref+ unif</t>
  </si>
  <si>
    <t>claudio leiria hela+cocin</t>
  </si>
  <si>
    <t>jimena lugo tablet+termo</t>
  </si>
  <si>
    <t>cintia carrizo tv 50 enova</t>
  </si>
  <si>
    <t>maria rosa combo ultracomb</t>
  </si>
  <si>
    <t>debora leguizamon moto g15</t>
  </si>
  <si>
    <t>poli ortiz desmalezadora</t>
  </si>
  <si>
    <t>liliana chamorro moto g 04</t>
  </si>
  <si>
    <t>benita astrada tv 32 enova</t>
  </si>
  <si>
    <t>federico lopez tv futura 50</t>
  </si>
  <si>
    <t>ibarra ef evaristo</t>
  </si>
  <si>
    <t>ortellano pava</t>
  </si>
  <si>
    <t>horacio romero ef</t>
  </si>
  <si>
    <t>borela maia som purple</t>
  </si>
  <si>
    <t>salcedo fernandez</t>
  </si>
  <si>
    <t>nicolas coronel ef andres</t>
  </si>
  <si>
    <t>marcelo chamorro ef</t>
  </si>
  <si>
    <t>almacen oski ef</t>
  </si>
  <si>
    <t>salcedo fernandez estu</t>
  </si>
  <si>
    <t>maria carrizo mama hela neba</t>
  </si>
  <si>
    <t>juan zotelo horno 110 lts</t>
  </si>
  <si>
    <t>nahuel carrizo 2 somm 1plaza</t>
  </si>
  <si>
    <t>zotelo acosta martiri sebast</t>
  </si>
  <si>
    <t>lucrecia morona ef</t>
  </si>
  <si>
    <t>marta miranda lava 8kg enov</t>
  </si>
  <si>
    <t xml:space="preserve">lucas sanchez covelo tablet </t>
  </si>
  <si>
    <t>rene herrera</t>
  </si>
  <si>
    <t>florencia gonzalez</t>
  </si>
  <si>
    <t>hector albañil moto g 14</t>
  </si>
  <si>
    <t>marcelo otonelo a 07</t>
  </si>
  <si>
    <t>cristian maidana a 16</t>
  </si>
  <si>
    <t>patricia miranda desmalez</t>
  </si>
  <si>
    <t>fer herrera suavestar boreal</t>
  </si>
  <si>
    <t>camila vallejos tv motorola</t>
  </si>
  <si>
    <t>lucas sanchez guille licua</t>
  </si>
  <si>
    <t>laura rojas cañete randers</t>
  </si>
  <si>
    <t>lopez angelica</t>
  </si>
  <si>
    <t>adriana toledo ef</t>
  </si>
  <si>
    <t>patricia guzman</t>
  </si>
  <si>
    <t>juan martin</t>
  </si>
  <si>
    <t>maria paredes ef</t>
  </si>
  <si>
    <t>julieta valiente ef</t>
  </si>
  <si>
    <t>gaspar bordon ef</t>
  </si>
  <si>
    <t>debora UNIF ferreyra</t>
  </si>
  <si>
    <t>agustin gonzalez</t>
  </si>
  <si>
    <t>guillermo zotelo licua roja</t>
  </si>
  <si>
    <t>nancy kiosco am exib pionn</t>
  </si>
  <si>
    <t>cintia caniza lava peabody</t>
  </si>
  <si>
    <t>miriam aguirre hela midea</t>
  </si>
  <si>
    <t>alexis martinez circular</t>
  </si>
  <si>
    <t>melo elias tv rca 32</t>
  </si>
  <si>
    <t>lopez camila elizabeth</t>
  </si>
  <si>
    <t>diego hierrosur calov ind</t>
  </si>
  <si>
    <t>sebastian rearte ef</t>
  </si>
  <si>
    <t>vilchez elisa notebook</t>
  </si>
  <si>
    <t>maria rosa herram caja</t>
  </si>
  <si>
    <t>florencia valiente ef</t>
  </si>
  <si>
    <t>fabian acosta</t>
  </si>
  <si>
    <t>santiago miño horno+pava</t>
  </si>
  <si>
    <t>cintia encina randers</t>
  </si>
  <si>
    <t>ramon medina lava midea</t>
  </si>
  <si>
    <t>miriam salas sopla hojas</t>
  </si>
  <si>
    <t>javier el peligro enova 32"</t>
  </si>
  <si>
    <t>santiago covelo estufa</t>
  </si>
  <si>
    <t>nico carnicero somm+tv tcl 43</t>
  </si>
  <si>
    <t>vanesa alegre micro</t>
  </si>
  <si>
    <t>cintia lazarte ef</t>
  </si>
  <si>
    <t>laura yesica tarela ef</t>
  </si>
  <si>
    <t>leo tv hyundai 43 roldan</t>
  </si>
  <si>
    <t>yamila gomez 4 productos</t>
  </si>
  <si>
    <t>lucas sanchez a 06</t>
  </si>
  <si>
    <t>david autodromo konan</t>
  </si>
  <si>
    <t>gisela silva tablet</t>
  </si>
  <si>
    <t>julia samudio termo 60lts</t>
  </si>
  <si>
    <t>soledad salas motosierra</t>
  </si>
  <si>
    <t>daiana viviani ef</t>
  </si>
  <si>
    <t>silvia falcon</t>
  </si>
  <si>
    <t>juan yanel redmi note 14</t>
  </si>
  <si>
    <t>cristian fabian lopez</t>
  </si>
  <si>
    <t>walter fer aguirre</t>
  </si>
  <si>
    <t>daniela paredes 2 colchones</t>
  </si>
  <si>
    <t>pitu a 07</t>
  </si>
  <si>
    <t>momocho bateria</t>
  </si>
  <si>
    <t>fabiana nuñez tv 50 futura</t>
  </si>
  <si>
    <t>maria sosa desma</t>
  </si>
  <si>
    <t>carina maciel ef</t>
  </si>
  <si>
    <t>torres patricia tv 55</t>
  </si>
  <si>
    <t>ivan autodromo hela col gris</t>
  </si>
  <si>
    <t>aladio jose hela col gris</t>
  </si>
  <si>
    <t>gaston rajoy motosierra</t>
  </si>
  <si>
    <t>daiana vazquez ef</t>
  </si>
  <si>
    <t>alejo mesa colch suavest</t>
  </si>
  <si>
    <t>lucas notagay randers</t>
  </si>
  <si>
    <t>eliseo machuca</t>
  </si>
  <si>
    <t>jesica herrera a 06</t>
  </si>
  <si>
    <t>walter martinez</t>
  </si>
  <si>
    <t>abril ayelen diaz ef</t>
  </si>
  <si>
    <t>maria nuñez cocina midea</t>
  </si>
  <si>
    <t xml:space="preserve">sagradin nataly </t>
  </si>
  <si>
    <t>kateryna mykytyuk domec</t>
  </si>
  <si>
    <t>sabrina valencia ef</t>
  </si>
  <si>
    <t>jesica more somm+estuf</t>
  </si>
  <si>
    <t>lucas sanchez zotelo</t>
  </si>
  <si>
    <t>jose brizuela usman 4004</t>
  </si>
  <si>
    <t>alexis barrios hela col</t>
  </si>
  <si>
    <t>ramon zapata grupo elect</t>
  </si>
  <si>
    <t>macarena mesa ef</t>
  </si>
  <si>
    <t>juan borelia motosie</t>
  </si>
  <si>
    <t>matias milloc a 26</t>
  </si>
  <si>
    <t>claudia home redmi 15 c</t>
  </si>
  <si>
    <t>vero el peligro neba gris</t>
  </si>
  <si>
    <t>ana brizuela somm</t>
  </si>
  <si>
    <t>juan manuel silva</t>
  </si>
  <si>
    <t xml:space="preserve">analia montivero eft </t>
  </si>
  <si>
    <t xml:space="preserve"> </t>
  </si>
  <si>
    <t>jose gabriel gil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</si>
</sst>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scheme val="minor"/>
    </font>
    <font>
      <sz val="9"/>
      <color theme="1"/>
      <name val="Aptos Narrow"/>
      <family val="2"/>
      <scheme val="minor"/>
    </font>
    <font>
      <sz val="9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2" xfId="0" applyFont="1" applyFill="1" applyBorder="1"/>
    <xf numFmtId="0" fontId="2" fillId="0" borderId="0" xfId="0" applyFont="1"/>
    <xf numFmtId="164" fontId="1" fillId="2" borderId="2" xfId="0" applyNumberFormat="1" applyFont="1" applyFill="1" applyBorder="1"/>
    <xf numFmtId="164" fontId="0" fillId="0" borderId="1" xfId="0" applyNumberFormat="1" applyBorder="1"/>
    <xf numFmtId="164" fontId="0" fillId="0" borderId="0" xfId="0" applyNumberFormat="1"/>
    <xf numFmtId="164" fontId="1" fillId="3" borderId="2" xfId="0" applyNumberFormat="1" applyFont="1" applyFill="1" applyBorder="1"/>
    <xf numFmtId="164" fontId="0" fillId="3" borderId="1" xfId="0" applyNumberFormat="1" applyFill="1" applyBorder="1"/>
    <xf numFmtId="164" fontId="0" fillId="3" borderId="0" xfId="0" applyNumberFormat="1" applyFill="1"/>
    <xf numFmtId="0" fontId="3" fillId="0" borderId="1" xfId="0" applyFont="1" applyBorder="1"/>
    <xf numFmtId="164" fontId="5" fillId="2" borderId="2" xfId="0" applyNumberFormat="1" applyFont="1" applyFill="1" applyBorder="1"/>
    <xf numFmtId="164" fontId="4" fillId="0" borderId="1" xfId="0" applyNumberFormat="1" applyFont="1" applyBorder="1"/>
    <xf numFmtId="164" fontId="4" fillId="0" borderId="0" xfId="0" applyNumberFormat="1" applyFont="1"/>
    <xf numFmtId="0" fontId="0" fillId="3" borderId="0" xfId="0" applyFill="1"/>
    <xf numFmtId="164" fontId="1" fillId="4" borderId="2" xfId="0" applyNumberFormat="1" applyFont="1" applyFill="1" applyBorder="1"/>
    <xf numFmtId="164" fontId="0" fillId="4" borderId="1" xfId="0" applyNumberFormat="1" applyFill="1" applyBorder="1"/>
    <xf numFmtId="0" fontId="0" fillId="4" borderId="0" xfId="0" applyFill="1"/>
    <xf numFmtId="164" fontId="3" fillId="3" borderId="1" xfId="0" applyNumberFormat="1" applyFont="1" applyFill="1" applyBorder="1"/>
    <xf numFmtId="16" fontId="0" fillId="0" borderId="1" xfId="0" applyNumberFormat="1" applyBorder="1"/>
    <xf numFmtId="0" fontId="4" fillId="0" borderId="1" xfId="0" applyFont="1" applyBorder="1"/>
    <xf numFmtId="164" fontId="1" fillId="5" borderId="2" xfId="0" applyNumberFormat="1" applyFont="1" applyFill="1" applyBorder="1"/>
    <xf numFmtId="164" fontId="0" fillId="5" borderId="1" xfId="0" applyNumberFormat="1" applyFill="1" applyBorder="1"/>
    <xf numFmtId="0" fontId="0" fillId="5" borderId="0" xfId="0" applyFill="1"/>
    <xf numFmtId="14" fontId="3" fillId="0" borderId="1" xfId="0" applyNumberFormat="1" applyFont="1" applyBorder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6" fillId="0" borderId="1" xfId="0" applyFont="1" applyBorder="1"/>
    <xf numFmtId="0" fontId="1" fillId="2" borderId="0" xfId="0" applyFont="1" applyFill="1"/>
    <xf numFmtId="164" fontId="1" fillId="2" borderId="0" xfId="0" applyNumberFormat="1" applyFont="1" applyFill="1"/>
    <xf numFmtId="164" fontId="1" fillId="5" borderId="0" xfId="0" applyNumberFormat="1" applyFont="1" applyFill="1"/>
    <xf numFmtId="164" fontId="1" fillId="3" borderId="0" xfId="0" applyNumberFormat="1" applyFont="1" applyFill="1"/>
    <xf numFmtId="164" fontId="7" fillId="0" borderId="1" xfId="0" applyNumberFormat="1" applyFont="1" applyBorder="1"/>
    <xf numFmtId="164" fontId="8" fillId="0" borderId="1" xfId="0" applyNumberFormat="1" applyFont="1" applyBorder="1"/>
    <xf numFmtId="14" fontId="4" fillId="0" borderId="1" xfId="0" applyNumberFormat="1" applyFont="1" applyBorder="1"/>
    <xf numFmtId="164" fontId="4" fillId="3" borderId="1" xfId="0" applyNumberFormat="1" applyFont="1" applyFill="1" applyBorder="1"/>
    <xf numFmtId="0" fontId="4" fillId="0" borderId="1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M280"/>
  <sheetViews>
    <sheetView topLeftCell="A28" zoomScale="80" zoomScaleNormal="80" workbookViewId="0">
      <selection activeCell="I43" sqref="I43"/>
    </sheetView>
  </sheetViews>
  <sheetFormatPr baseColWidth="10" defaultColWidth="8.5703125" defaultRowHeight="15" x14ac:dyDescent="0.25"/>
  <cols>
    <col min="1" max="1" width="27.42578125" customWidth="1"/>
    <col min="2" max="2" width="10.85546875" bestFit="1" customWidth="1"/>
    <col min="3" max="3" width="5" customWidth="1"/>
    <col min="4" max="4" width="3.140625" customWidth="1"/>
    <col min="5" max="5" width="13.28515625" style="8" customWidth="1"/>
    <col min="6" max="6" width="17.85546875" style="15" customWidth="1"/>
    <col min="7" max="7" width="18.42578125" style="8" customWidth="1"/>
    <col min="8" max="8" width="15.7109375" style="11" customWidth="1"/>
    <col min="9" max="9" width="14.28515625" customWidth="1"/>
    <col min="10" max="10" width="5.28515625" customWidth="1"/>
    <col min="11" max="11" width="9.5703125" customWidth="1"/>
    <col min="12" max="12" width="5.140625" customWidth="1"/>
    <col min="13" max="13" width="5.85546875" customWidth="1"/>
  </cols>
  <sheetData>
    <row r="1" spans="1:13" ht="15.75" thickTop="1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3" t="s">
        <v>5</v>
      </c>
      <c r="G1" s="6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32</v>
      </c>
      <c r="M1" s="4" t="s">
        <v>33</v>
      </c>
    </row>
    <row r="2" spans="1:13" x14ac:dyDescent="0.25">
      <c r="A2" s="1" t="s">
        <v>14</v>
      </c>
      <c r="B2" s="2">
        <v>45905</v>
      </c>
      <c r="C2" s="1"/>
      <c r="D2" s="1">
        <v>7</v>
      </c>
      <c r="E2" s="7">
        <v>50000</v>
      </c>
      <c r="F2" s="14">
        <f t="shared" ref="F2:F3" si="0">G2-H2</f>
        <v>55000</v>
      </c>
      <c r="G2" s="7">
        <v>1800000</v>
      </c>
      <c r="H2" s="10">
        <v>1745000</v>
      </c>
      <c r="I2" s="2">
        <f t="shared" ref="I2:I3" si="1">IF(F2=0,"",IF(C2="CRED",B2+(INT((G2-F2)/E2)+1)*D2,B2+INT((G2-F2)/E2)*D2))</f>
        <v>46143</v>
      </c>
      <c r="J2" s="1">
        <f t="shared" ref="J2:J3" ca="1" si="2">IF(I2="","",I2-TODAY())</f>
        <v>-6</v>
      </c>
      <c r="K2" s="3" t="str">
        <f t="shared" ref="K2:K3" ca="1" si="3">IF(J2="","",IF(J2&lt;0,"VENCIDO",IF(J2&lt;=1,"PRÓXIMO","VIGENTE")))</f>
        <v>VENCIDO</v>
      </c>
      <c r="L2" s="1">
        <f t="shared" ref="L2:L3" si="4">IF(F2=G2,0,INT((G2-F2)/E2))</f>
        <v>34</v>
      </c>
      <c r="M2" s="1">
        <f t="shared" ref="M2:M3" si="5">IF(F2=0,0,INT(F2/E2)+(IF(MOD(F2,E2)&gt;0,1,0)))</f>
        <v>2</v>
      </c>
    </row>
    <row r="3" spans="1:13" x14ac:dyDescent="0.25">
      <c r="A3" s="1" t="s">
        <v>15</v>
      </c>
      <c r="B3" s="2">
        <v>45891</v>
      </c>
      <c r="C3" s="1"/>
      <c r="D3" s="1">
        <v>7</v>
      </c>
      <c r="E3" s="7">
        <v>30000</v>
      </c>
      <c r="F3" s="14">
        <f t="shared" si="0"/>
        <v>210000</v>
      </c>
      <c r="G3" s="7">
        <v>900000</v>
      </c>
      <c r="H3" s="10">
        <v>690000</v>
      </c>
      <c r="I3" s="2">
        <f t="shared" si="1"/>
        <v>46052</v>
      </c>
      <c r="J3" s="1">
        <f t="shared" ca="1" si="2"/>
        <v>-97</v>
      </c>
      <c r="K3" s="3" t="str">
        <f t="shared" ca="1" si="3"/>
        <v>VENCIDO</v>
      </c>
      <c r="L3" s="1">
        <f t="shared" si="4"/>
        <v>23</v>
      </c>
      <c r="M3" s="1">
        <f t="shared" si="5"/>
        <v>7</v>
      </c>
    </row>
    <row r="4" spans="1:13" x14ac:dyDescent="0.25">
      <c r="A4" s="1" t="s">
        <v>16</v>
      </c>
      <c r="B4" s="2">
        <v>45931</v>
      </c>
      <c r="C4" s="1" t="s">
        <v>13</v>
      </c>
      <c r="D4" s="1">
        <v>30</v>
      </c>
      <c r="E4" s="7">
        <v>110000</v>
      </c>
      <c r="F4" s="14">
        <f t="shared" ref="F4" si="6">G4-H4</f>
        <v>210000</v>
      </c>
      <c r="G4" s="7">
        <v>870000</v>
      </c>
      <c r="H4" s="10">
        <v>660000</v>
      </c>
      <c r="I4" s="2">
        <f t="shared" ref="I4" si="7">IF(F4=0,"",IF(C4="CRED",B4+(INT((G4-F4)/E4)+1)*D4,B4+INT((G4-F4)/E4)*D4))</f>
        <v>46141</v>
      </c>
      <c r="J4" s="1">
        <f t="shared" ref="J4" ca="1" si="8">IF(I4="","",I4-TODAY())</f>
        <v>-8</v>
      </c>
      <c r="K4" s="3" t="str">
        <f t="shared" ref="K4" ca="1" si="9">IF(J4="","",IF(J4&lt;0,"VENCIDO",IF(J4&lt;=1,"PRÓXIMO","VIGENTE")))</f>
        <v>VENCIDO</v>
      </c>
      <c r="L4" s="1">
        <f t="shared" ref="L4" si="10">IF(F4=G4,0,INT((G4-F4)/E4))</f>
        <v>6</v>
      </c>
      <c r="M4" s="1">
        <f t="shared" ref="M4" si="11">IF(F4=0,0,INT(F4/E4)+(IF(MOD(F4,E4)&gt;0,1,0)))</f>
        <v>2</v>
      </c>
    </row>
    <row r="5" spans="1:13" x14ac:dyDescent="0.25">
      <c r="A5" s="1" t="s">
        <v>19</v>
      </c>
      <c r="B5" s="2">
        <v>45974</v>
      </c>
      <c r="C5" s="1" t="s">
        <v>13</v>
      </c>
      <c r="D5" s="1">
        <v>7</v>
      </c>
      <c r="E5" s="7">
        <v>95000</v>
      </c>
      <c r="F5" s="14">
        <f t="shared" ref="F5" si="12">G5-H5</f>
        <v>760000</v>
      </c>
      <c r="G5" s="7">
        <v>2850000</v>
      </c>
      <c r="H5" s="10">
        <v>2090000</v>
      </c>
      <c r="I5" s="2">
        <f t="shared" ref="I5" si="13">IF(F5=0,"",IF(C5="CRED",B5+(INT((G5-F5)/E5)+1)*D5,B5+INT((G5-F5)/E5)*D5))</f>
        <v>46135</v>
      </c>
      <c r="J5" s="1">
        <f t="shared" ref="J5" ca="1" si="14">IF(I5="","",I5-TODAY())</f>
        <v>-14</v>
      </c>
      <c r="K5" s="3" t="str">
        <f t="shared" ref="K5" ca="1" si="15">IF(J5="","",IF(J5&lt;0,"VENCIDO",IF(J5&lt;=1,"PRÓXIMO","VIGENTE")))</f>
        <v>VENCIDO</v>
      </c>
      <c r="L5" s="1">
        <f t="shared" ref="L5" si="16">IF(F5=G5,0,INT((G5-F5)/E5))</f>
        <v>22</v>
      </c>
      <c r="M5" s="1">
        <f t="shared" ref="M5" si="17">IF(F5=0,0,INT(F5/E5)+(IF(MOD(F5,E5)&gt;0,1,0)))</f>
        <v>8</v>
      </c>
    </row>
    <row r="6" spans="1:13" x14ac:dyDescent="0.25">
      <c r="A6" s="1" t="s">
        <v>21</v>
      </c>
      <c r="B6" s="2">
        <v>46010</v>
      </c>
      <c r="C6" s="1" t="s">
        <v>13</v>
      </c>
      <c r="D6" s="1">
        <v>15</v>
      </c>
      <c r="E6" s="7">
        <v>70000</v>
      </c>
      <c r="F6" s="14">
        <f t="shared" ref="F6:F8" si="18">G6-H6</f>
        <v>70000</v>
      </c>
      <c r="G6" s="7">
        <v>420000</v>
      </c>
      <c r="H6" s="10">
        <v>350000</v>
      </c>
      <c r="I6" s="2">
        <f t="shared" ref="I6:I8" si="19">IF(F6=0,"",IF(C6="CRED",B6+(INT((G6-F6)/E6)+1)*D6,B6+INT((G6-F6)/E6)*D6))</f>
        <v>46100</v>
      </c>
      <c r="J6" s="1">
        <f t="shared" ref="J6:J8" ca="1" si="20">IF(I6="","",I6-TODAY())</f>
        <v>-49</v>
      </c>
      <c r="K6" s="3" t="str">
        <f t="shared" ref="K6:K8" ca="1" si="21">IF(J6="","",IF(J6&lt;0,"VENCIDO",IF(J6&lt;=1,"PRÓXIMO","VIGENTE")))</f>
        <v>VENCIDO</v>
      </c>
      <c r="L6" s="1">
        <f t="shared" ref="L6:L8" si="22">IF(F6=G6,0,INT((G6-F6)/E6))</f>
        <v>5</v>
      </c>
      <c r="M6" s="1">
        <f t="shared" ref="M6:M8" si="23">IF(F6=0,0,INT(F6/E6)+(IF(MOD(F6,E6)&gt;0,1,0)))</f>
        <v>1</v>
      </c>
    </row>
    <row r="7" spans="1:13" x14ac:dyDescent="0.25">
      <c r="A7" s="1" t="s">
        <v>34</v>
      </c>
      <c r="B7" s="2">
        <v>45947</v>
      </c>
      <c r="C7" s="1"/>
      <c r="D7" s="1">
        <v>7</v>
      </c>
      <c r="E7" s="7">
        <v>32000</v>
      </c>
      <c r="F7" s="14">
        <f t="shared" si="18"/>
        <v>30000</v>
      </c>
      <c r="G7" s="7">
        <v>960000</v>
      </c>
      <c r="H7" s="10">
        <v>930000</v>
      </c>
      <c r="I7" s="2">
        <f t="shared" si="19"/>
        <v>46150</v>
      </c>
      <c r="J7" s="1">
        <f t="shared" ca="1" si="20"/>
        <v>1</v>
      </c>
      <c r="K7" s="3" t="str">
        <f t="shared" ca="1" si="21"/>
        <v>PRÓXIMO</v>
      </c>
      <c r="L7" s="1">
        <f t="shared" si="22"/>
        <v>29</v>
      </c>
      <c r="M7" s="1">
        <f t="shared" si="23"/>
        <v>1</v>
      </c>
    </row>
    <row r="8" spans="1:13" x14ac:dyDescent="0.25">
      <c r="A8" s="1" t="s">
        <v>35</v>
      </c>
      <c r="B8" s="2">
        <v>45952</v>
      </c>
      <c r="C8" s="1"/>
      <c r="D8" s="1">
        <v>7</v>
      </c>
      <c r="E8" s="7">
        <v>30500</v>
      </c>
      <c r="F8" s="14">
        <f t="shared" si="18"/>
        <v>34500</v>
      </c>
      <c r="G8" s="7">
        <v>762500</v>
      </c>
      <c r="H8" s="10">
        <v>728000</v>
      </c>
      <c r="I8" s="2">
        <f t="shared" si="19"/>
        <v>46113</v>
      </c>
      <c r="J8" s="1">
        <f t="shared" ca="1" si="20"/>
        <v>-36</v>
      </c>
      <c r="K8" s="3" t="str">
        <f t="shared" ca="1" si="21"/>
        <v>VENCIDO</v>
      </c>
      <c r="L8" s="1">
        <f t="shared" si="22"/>
        <v>23</v>
      </c>
      <c r="M8" s="1">
        <f t="shared" si="23"/>
        <v>2</v>
      </c>
    </row>
    <row r="9" spans="1:13" x14ac:dyDescent="0.25">
      <c r="A9" s="1" t="s">
        <v>37</v>
      </c>
      <c r="B9" s="2">
        <v>45959</v>
      </c>
      <c r="C9" s="1" t="s">
        <v>13</v>
      </c>
      <c r="D9" s="1">
        <v>7</v>
      </c>
      <c r="E9" s="7">
        <v>150000</v>
      </c>
      <c r="F9" s="14">
        <f t="shared" ref="F9:F12" si="24">G9-H9</f>
        <v>300000</v>
      </c>
      <c r="G9" s="7">
        <v>4050000</v>
      </c>
      <c r="H9" s="10">
        <v>3750000</v>
      </c>
      <c r="I9" s="2">
        <f t="shared" ref="I9:I12" si="25">IF(F9=0,"",IF(C9="CRED",B9+(INT((G9-F9)/E9)+1)*D9,B9+INT((G9-F9)/E9)*D9))</f>
        <v>46141</v>
      </c>
      <c r="J9" s="1">
        <f t="shared" ref="J9:J12" ca="1" si="26">IF(I9="","",I9-TODAY())</f>
        <v>-8</v>
      </c>
      <c r="K9" s="3" t="str">
        <f t="shared" ref="K9:K12" ca="1" si="27">IF(J9="","",IF(J9&lt;0,"VENCIDO",IF(J9&lt;=1,"PRÓXIMO","VIGENTE")))</f>
        <v>VENCIDO</v>
      </c>
      <c r="L9" s="1">
        <f t="shared" ref="L9:L12" si="28">IF(F9=G9,0,INT((G9-F9)/E9))</f>
        <v>25</v>
      </c>
      <c r="M9" s="1">
        <f t="shared" ref="M9:M12" si="29">IF(F9=0,0,INT(F9/E9)+(IF(MOD(F9,E9)&gt;0,1,0)))</f>
        <v>2</v>
      </c>
    </row>
    <row r="10" spans="1:13" x14ac:dyDescent="0.25">
      <c r="A10" s="1" t="s">
        <v>39</v>
      </c>
      <c r="B10" s="2">
        <v>45959</v>
      </c>
      <c r="C10" s="1"/>
      <c r="D10" s="1">
        <v>7</v>
      </c>
      <c r="E10" s="7">
        <v>24000</v>
      </c>
      <c r="F10" s="14">
        <f t="shared" si="24"/>
        <v>120000</v>
      </c>
      <c r="G10" s="7">
        <v>600000</v>
      </c>
      <c r="H10" s="10">
        <v>480000</v>
      </c>
      <c r="I10" s="2">
        <f t="shared" si="25"/>
        <v>46099</v>
      </c>
      <c r="J10" s="1">
        <f t="shared" ca="1" si="26"/>
        <v>-50</v>
      </c>
      <c r="K10" s="3" t="str">
        <f t="shared" ca="1" si="27"/>
        <v>VENCIDO</v>
      </c>
      <c r="L10" s="1">
        <f t="shared" si="28"/>
        <v>20</v>
      </c>
      <c r="M10" s="1">
        <f t="shared" si="29"/>
        <v>5</v>
      </c>
    </row>
    <row r="11" spans="1:13" x14ac:dyDescent="0.25">
      <c r="A11" s="1" t="s">
        <v>41</v>
      </c>
      <c r="B11" s="2">
        <v>45966</v>
      </c>
      <c r="C11" s="1"/>
      <c r="D11" s="1">
        <v>7</v>
      </c>
      <c r="E11" s="7">
        <v>34000</v>
      </c>
      <c r="F11" s="14">
        <f t="shared" si="24"/>
        <v>206000</v>
      </c>
      <c r="G11" s="7">
        <v>1020000</v>
      </c>
      <c r="H11" s="10">
        <v>814000</v>
      </c>
      <c r="I11" s="2">
        <f t="shared" si="25"/>
        <v>46127</v>
      </c>
      <c r="J11" s="1">
        <f t="shared" ca="1" si="26"/>
        <v>-22</v>
      </c>
      <c r="K11" s="3" t="str">
        <f t="shared" ca="1" si="27"/>
        <v>VENCIDO</v>
      </c>
      <c r="L11" s="1">
        <f t="shared" si="28"/>
        <v>23</v>
      </c>
      <c r="M11" s="1">
        <f t="shared" si="29"/>
        <v>7</v>
      </c>
    </row>
    <row r="12" spans="1:13" x14ac:dyDescent="0.25">
      <c r="A12" s="1" t="s">
        <v>42</v>
      </c>
      <c r="B12" s="2">
        <v>45967</v>
      </c>
      <c r="C12" s="1"/>
      <c r="D12" s="1">
        <v>7</v>
      </c>
      <c r="E12" s="7">
        <v>30000</v>
      </c>
      <c r="F12" s="14">
        <f t="shared" si="24"/>
        <v>180000</v>
      </c>
      <c r="G12" s="7">
        <v>930000</v>
      </c>
      <c r="H12" s="10">
        <v>750000</v>
      </c>
      <c r="I12" s="2">
        <f t="shared" si="25"/>
        <v>46142</v>
      </c>
      <c r="J12" s="1">
        <f t="shared" ca="1" si="26"/>
        <v>-7</v>
      </c>
      <c r="K12" s="3" t="str">
        <f t="shared" ca="1" si="27"/>
        <v>VENCIDO</v>
      </c>
      <c r="L12" s="1">
        <f t="shared" si="28"/>
        <v>25</v>
      </c>
      <c r="M12" s="1">
        <f t="shared" si="29"/>
        <v>6</v>
      </c>
    </row>
    <row r="13" spans="1:13" x14ac:dyDescent="0.25">
      <c r="A13" s="1" t="s">
        <v>48</v>
      </c>
      <c r="B13" s="2">
        <v>45972</v>
      </c>
      <c r="C13" s="1"/>
      <c r="D13" s="1">
        <v>7</v>
      </c>
      <c r="E13" s="7">
        <v>39000</v>
      </c>
      <c r="F13" s="14">
        <f t="shared" ref="F13:F18" si="30">G13-H13</f>
        <v>390000</v>
      </c>
      <c r="G13" s="7">
        <v>1170000</v>
      </c>
      <c r="H13" s="10">
        <v>780000</v>
      </c>
      <c r="I13" s="2">
        <f t="shared" ref="I13:I18" si="31">IF(F13=0,"",IF(C13="CRED",B13+(INT((G13-F13)/E13)+1)*D13,B13+INT((G13-F13)/E13)*D13))</f>
        <v>46112</v>
      </c>
      <c r="J13" s="1">
        <f t="shared" ref="J13:J18" ca="1" si="32">IF(I13="","",I13-TODAY())</f>
        <v>-37</v>
      </c>
      <c r="K13" s="3" t="str">
        <f t="shared" ref="K13:K18" ca="1" si="33">IF(J13="","",IF(J13&lt;0,"VENCIDO",IF(J13&lt;=1,"PRÓXIMO","VIGENTE")))</f>
        <v>VENCIDO</v>
      </c>
      <c r="L13" s="1">
        <f t="shared" ref="L13:L18" si="34">IF(F13=G13,0,INT((G13-F13)/E13))</f>
        <v>20</v>
      </c>
      <c r="M13" s="1">
        <f t="shared" ref="M13:M18" si="35">IF(F13=0,0,INT(F13/E13)+(IF(MOD(F13,E13)&gt;0,1,0)))</f>
        <v>10</v>
      </c>
    </row>
    <row r="14" spans="1:13" x14ac:dyDescent="0.25">
      <c r="A14" s="1" t="s">
        <v>50</v>
      </c>
      <c r="B14" s="2">
        <v>45974</v>
      </c>
      <c r="C14" s="1"/>
      <c r="D14" s="1">
        <v>7</v>
      </c>
      <c r="E14" s="7">
        <v>38000</v>
      </c>
      <c r="F14" s="14">
        <f t="shared" si="30"/>
        <v>532000</v>
      </c>
      <c r="G14" s="7">
        <v>1330000</v>
      </c>
      <c r="H14" s="10">
        <v>798000</v>
      </c>
      <c r="I14" s="2">
        <f t="shared" si="31"/>
        <v>46121</v>
      </c>
      <c r="J14" s="1">
        <f t="shared" ca="1" si="32"/>
        <v>-28</v>
      </c>
      <c r="K14" s="3" t="str">
        <f t="shared" ca="1" si="33"/>
        <v>VENCIDO</v>
      </c>
      <c r="L14" s="1">
        <f t="shared" si="34"/>
        <v>21</v>
      </c>
      <c r="M14" s="1">
        <f t="shared" si="35"/>
        <v>14</v>
      </c>
    </row>
    <row r="15" spans="1:13" x14ac:dyDescent="0.25">
      <c r="A15" s="1" t="s">
        <v>51</v>
      </c>
      <c r="B15" s="2">
        <v>45978</v>
      </c>
      <c r="C15" s="1"/>
      <c r="D15" s="1">
        <v>7</v>
      </c>
      <c r="E15" s="7">
        <v>28000</v>
      </c>
      <c r="F15" s="14">
        <f t="shared" si="30"/>
        <v>182000</v>
      </c>
      <c r="G15" s="7">
        <v>504000</v>
      </c>
      <c r="H15" s="10">
        <v>322000</v>
      </c>
      <c r="I15" s="2">
        <f t="shared" si="31"/>
        <v>46055</v>
      </c>
      <c r="J15" s="1">
        <f t="shared" ca="1" si="32"/>
        <v>-94</v>
      </c>
      <c r="K15" s="3" t="str">
        <f t="shared" ca="1" si="33"/>
        <v>VENCIDO</v>
      </c>
      <c r="L15" s="1">
        <f t="shared" si="34"/>
        <v>11</v>
      </c>
      <c r="M15" s="1">
        <f t="shared" si="35"/>
        <v>7</v>
      </c>
    </row>
    <row r="16" spans="1:13" x14ac:dyDescent="0.25">
      <c r="A16" s="1" t="s">
        <v>52</v>
      </c>
      <c r="B16" s="2">
        <v>45980</v>
      </c>
      <c r="C16" s="1" t="s">
        <v>13</v>
      </c>
      <c r="D16" s="1">
        <v>7</v>
      </c>
      <c r="E16" s="7">
        <v>47000</v>
      </c>
      <c r="F16" s="14">
        <f t="shared" si="30"/>
        <v>1081000</v>
      </c>
      <c r="G16" s="7">
        <v>2162000</v>
      </c>
      <c r="H16" s="10">
        <v>1081000</v>
      </c>
      <c r="I16" s="2">
        <f t="shared" si="31"/>
        <v>46148</v>
      </c>
      <c r="J16" s="1">
        <f t="shared" ca="1" si="32"/>
        <v>-1</v>
      </c>
      <c r="K16" s="3" t="str">
        <f t="shared" ca="1" si="33"/>
        <v>VENCIDO</v>
      </c>
      <c r="L16" s="1">
        <f t="shared" si="34"/>
        <v>23</v>
      </c>
      <c r="M16" s="1">
        <f t="shared" si="35"/>
        <v>23</v>
      </c>
    </row>
    <row r="17" spans="1:13" x14ac:dyDescent="0.25">
      <c r="A17" s="1" t="s">
        <v>57</v>
      </c>
      <c r="B17" s="2">
        <v>45983</v>
      </c>
      <c r="C17" s="1"/>
      <c r="D17" s="1">
        <v>7</v>
      </c>
      <c r="E17" s="7">
        <v>57200</v>
      </c>
      <c r="F17" s="14">
        <f t="shared" si="30"/>
        <v>343400</v>
      </c>
      <c r="G17" s="7">
        <v>1430000</v>
      </c>
      <c r="H17" s="10">
        <v>1086600</v>
      </c>
      <c r="I17" s="2">
        <f t="shared" si="31"/>
        <v>46109</v>
      </c>
      <c r="J17" s="1">
        <f t="shared" ca="1" si="32"/>
        <v>-40</v>
      </c>
      <c r="K17" s="3" t="str">
        <f t="shared" ca="1" si="33"/>
        <v>VENCIDO</v>
      </c>
      <c r="L17" s="1">
        <f t="shared" si="34"/>
        <v>18</v>
      </c>
      <c r="M17" s="1">
        <f t="shared" si="35"/>
        <v>7</v>
      </c>
    </row>
    <row r="18" spans="1:13" x14ac:dyDescent="0.25">
      <c r="A18" s="1" t="s">
        <v>60</v>
      </c>
      <c r="B18" s="2">
        <v>45985</v>
      </c>
      <c r="C18" s="1"/>
      <c r="D18" s="1">
        <v>7</v>
      </c>
      <c r="E18" s="7">
        <v>145000</v>
      </c>
      <c r="F18" s="14">
        <f t="shared" si="30"/>
        <v>15000</v>
      </c>
      <c r="G18" s="7">
        <v>1450000</v>
      </c>
      <c r="H18" s="10">
        <v>1435000</v>
      </c>
      <c r="I18" s="2">
        <f t="shared" si="31"/>
        <v>46048</v>
      </c>
      <c r="J18" s="1">
        <f t="shared" ca="1" si="32"/>
        <v>-101</v>
      </c>
      <c r="K18" s="3" t="str">
        <f t="shared" ca="1" si="33"/>
        <v>VENCIDO</v>
      </c>
      <c r="L18" s="1">
        <f t="shared" si="34"/>
        <v>9</v>
      </c>
      <c r="M18" s="1">
        <f t="shared" si="35"/>
        <v>1</v>
      </c>
    </row>
    <row r="19" spans="1:13" s="41" customFormat="1" x14ac:dyDescent="0.25">
      <c r="A19" s="22" t="s">
        <v>61</v>
      </c>
      <c r="B19" s="38">
        <v>45988</v>
      </c>
      <c r="C19" s="22"/>
      <c r="D19" s="22">
        <v>7</v>
      </c>
      <c r="E19" s="14">
        <v>36000</v>
      </c>
      <c r="F19" s="14">
        <f t="shared" ref="F19:F29" si="36">G19-H19</f>
        <v>324000</v>
      </c>
      <c r="G19" s="14">
        <v>1152000</v>
      </c>
      <c r="H19" s="39">
        <v>828000</v>
      </c>
      <c r="I19" s="38">
        <f t="shared" ref="I19:I29" si="37">IF(F19=0,"",IF(C19="CRED",B19+(INT((G19-F19)/E19)+1)*D19,B19+INT((G19-F19)/E19)*D19))</f>
        <v>46149</v>
      </c>
      <c r="J19" s="22">
        <f t="shared" ref="J19:J29" ca="1" si="38">IF(I19="","",I19-TODAY())</f>
        <v>0</v>
      </c>
      <c r="K19" s="40" t="str">
        <f t="shared" ref="K19:K29" ca="1" si="39">IF(J19="","",IF(J19&lt;0,"VENCIDO",IF(J19&lt;=1,"PRÓXIMO","VIGENTE")))</f>
        <v>PRÓXIMO</v>
      </c>
      <c r="L19" s="22">
        <f t="shared" ref="L19:L29" si="40">IF(F19=G19,0,INT((G19-F19)/E19))</f>
        <v>23</v>
      </c>
      <c r="M19" s="22">
        <f t="shared" ref="M19:M29" si="41">IF(F19=0,0,INT(F19/E19)+(IF(MOD(F19,E19)&gt;0,1,0)))</f>
        <v>9</v>
      </c>
    </row>
    <row r="20" spans="1:13" x14ac:dyDescent="0.25">
      <c r="A20" s="1" t="s">
        <v>65</v>
      </c>
      <c r="B20" s="2">
        <v>45990</v>
      </c>
      <c r="C20" s="1"/>
      <c r="D20" s="1">
        <v>7</v>
      </c>
      <c r="E20" s="7">
        <v>127000</v>
      </c>
      <c r="F20" s="14">
        <f t="shared" si="36"/>
        <v>438000</v>
      </c>
      <c r="G20" s="7">
        <v>1143000</v>
      </c>
      <c r="H20" s="10">
        <v>705000</v>
      </c>
      <c r="I20" s="2">
        <f t="shared" si="37"/>
        <v>46025</v>
      </c>
      <c r="J20" s="1">
        <f t="shared" ca="1" si="38"/>
        <v>-124</v>
      </c>
      <c r="K20" s="3" t="str">
        <f t="shared" ca="1" si="39"/>
        <v>VENCIDO</v>
      </c>
      <c r="L20" s="1">
        <f t="shared" si="40"/>
        <v>5</v>
      </c>
      <c r="M20" s="1">
        <f t="shared" si="41"/>
        <v>4</v>
      </c>
    </row>
    <row r="21" spans="1:13" x14ac:dyDescent="0.25">
      <c r="A21" s="1" t="s">
        <v>66</v>
      </c>
      <c r="B21" s="2">
        <v>45995</v>
      </c>
      <c r="C21" s="1" t="s">
        <v>13</v>
      </c>
      <c r="D21" s="1">
        <v>7</v>
      </c>
      <c r="E21" s="7">
        <v>170000</v>
      </c>
      <c r="F21" s="14">
        <f t="shared" si="36"/>
        <v>1530000</v>
      </c>
      <c r="G21" s="7">
        <v>4250000</v>
      </c>
      <c r="H21" s="10">
        <v>2720000</v>
      </c>
      <c r="I21" s="2">
        <f t="shared" si="37"/>
        <v>46114</v>
      </c>
      <c r="J21" s="1">
        <f t="shared" ca="1" si="38"/>
        <v>-35</v>
      </c>
      <c r="K21" s="3" t="str">
        <f t="shared" ca="1" si="39"/>
        <v>VENCIDO</v>
      </c>
      <c r="L21" s="1">
        <f t="shared" si="40"/>
        <v>16</v>
      </c>
      <c r="M21" s="1">
        <f t="shared" si="41"/>
        <v>9</v>
      </c>
    </row>
    <row r="22" spans="1:13" x14ac:dyDescent="0.25">
      <c r="A22" s="1" t="s">
        <v>68</v>
      </c>
      <c r="B22" s="2">
        <v>45995</v>
      </c>
      <c r="C22" s="1" t="s">
        <v>13</v>
      </c>
      <c r="D22" s="1">
        <v>7</v>
      </c>
      <c r="E22" s="7">
        <v>35000</v>
      </c>
      <c r="F22" s="14">
        <f t="shared" si="36"/>
        <v>140000</v>
      </c>
      <c r="G22" s="7">
        <v>875000</v>
      </c>
      <c r="H22" s="10">
        <v>735000</v>
      </c>
      <c r="I22" s="2">
        <f t="shared" si="37"/>
        <v>46149</v>
      </c>
      <c r="J22" s="1">
        <f t="shared" ca="1" si="38"/>
        <v>0</v>
      </c>
      <c r="K22" s="3" t="str">
        <f t="shared" ca="1" si="39"/>
        <v>PRÓXIMO</v>
      </c>
      <c r="L22" s="1">
        <f t="shared" si="40"/>
        <v>21</v>
      </c>
      <c r="M22" s="1">
        <f t="shared" si="41"/>
        <v>4</v>
      </c>
    </row>
    <row r="23" spans="1:13" x14ac:dyDescent="0.25">
      <c r="A23" s="1" t="s">
        <v>76</v>
      </c>
      <c r="B23" s="2">
        <v>45996</v>
      </c>
      <c r="C23" s="1" t="s">
        <v>13</v>
      </c>
      <c r="D23" s="1">
        <v>7</v>
      </c>
      <c r="E23" s="7">
        <v>50000</v>
      </c>
      <c r="F23" s="14">
        <f t="shared" si="36"/>
        <v>450000</v>
      </c>
      <c r="G23" s="7">
        <v>1250000</v>
      </c>
      <c r="H23" s="10">
        <v>800000</v>
      </c>
      <c r="I23" s="2">
        <f t="shared" si="37"/>
        <v>46115</v>
      </c>
      <c r="J23" s="1">
        <f t="shared" ca="1" si="38"/>
        <v>-34</v>
      </c>
      <c r="K23" s="3" t="str">
        <f t="shared" ca="1" si="39"/>
        <v>VENCIDO</v>
      </c>
      <c r="L23" s="1">
        <f t="shared" si="40"/>
        <v>16</v>
      </c>
      <c r="M23" s="1">
        <f t="shared" si="41"/>
        <v>9</v>
      </c>
    </row>
    <row r="24" spans="1:13" x14ac:dyDescent="0.25">
      <c r="A24" s="1" t="s">
        <v>70</v>
      </c>
      <c r="B24" s="2">
        <v>45997</v>
      </c>
      <c r="C24" s="1" t="s">
        <v>13</v>
      </c>
      <c r="D24" s="1">
        <v>7</v>
      </c>
      <c r="E24" s="7">
        <v>57000</v>
      </c>
      <c r="F24" s="14">
        <f t="shared" si="36"/>
        <v>399000</v>
      </c>
      <c r="G24" s="7">
        <v>570000</v>
      </c>
      <c r="H24" s="10">
        <v>171000</v>
      </c>
      <c r="I24" s="2">
        <f t="shared" si="37"/>
        <v>46025</v>
      </c>
      <c r="J24" s="1">
        <f t="shared" ca="1" si="38"/>
        <v>-124</v>
      </c>
      <c r="K24" s="3" t="str">
        <f t="shared" ca="1" si="39"/>
        <v>VENCIDO</v>
      </c>
      <c r="L24" s="1">
        <f t="shared" si="40"/>
        <v>3</v>
      </c>
      <c r="M24" s="1">
        <f t="shared" si="41"/>
        <v>7</v>
      </c>
    </row>
    <row r="25" spans="1:13" x14ac:dyDescent="0.25">
      <c r="A25" s="1" t="s">
        <v>71</v>
      </c>
      <c r="B25" s="2">
        <v>46004</v>
      </c>
      <c r="C25" s="1" t="s">
        <v>13</v>
      </c>
      <c r="D25" s="1">
        <v>7</v>
      </c>
      <c r="E25" s="7">
        <v>460000</v>
      </c>
      <c r="F25" s="14">
        <f t="shared" si="36"/>
        <v>5060000</v>
      </c>
      <c r="G25" s="7">
        <v>13800000</v>
      </c>
      <c r="H25" s="10">
        <v>8740000</v>
      </c>
      <c r="I25" s="2">
        <f t="shared" si="37"/>
        <v>46144</v>
      </c>
      <c r="J25" s="1">
        <f t="shared" ca="1" si="38"/>
        <v>-5</v>
      </c>
      <c r="K25" s="3" t="str">
        <f t="shared" ca="1" si="39"/>
        <v>VENCIDO</v>
      </c>
      <c r="L25" s="1">
        <f t="shared" si="40"/>
        <v>19</v>
      </c>
      <c r="M25" s="1">
        <f t="shared" si="41"/>
        <v>11</v>
      </c>
    </row>
    <row r="26" spans="1:13" x14ac:dyDescent="0.25">
      <c r="A26" s="1" t="s">
        <v>80</v>
      </c>
      <c r="B26" s="2">
        <v>46007</v>
      </c>
      <c r="C26" s="1"/>
      <c r="D26" s="1">
        <v>7</v>
      </c>
      <c r="E26" s="7">
        <v>35000</v>
      </c>
      <c r="F26" s="14">
        <f t="shared" si="36"/>
        <v>175000</v>
      </c>
      <c r="G26" s="7">
        <v>875000</v>
      </c>
      <c r="H26" s="10">
        <v>700000</v>
      </c>
      <c r="I26" s="2">
        <f t="shared" si="37"/>
        <v>46147</v>
      </c>
      <c r="J26" s="1">
        <f t="shared" ca="1" si="38"/>
        <v>-2</v>
      </c>
      <c r="K26" s="3" t="str">
        <f t="shared" ca="1" si="39"/>
        <v>VENCIDO</v>
      </c>
      <c r="L26" s="1">
        <f t="shared" si="40"/>
        <v>20</v>
      </c>
      <c r="M26" s="1">
        <f t="shared" si="41"/>
        <v>5</v>
      </c>
    </row>
    <row r="27" spans="1:13" x14ac:dyDescent="0.25">
      <c r="A27" s="1" t="s">
        <v>81</v>
      </c>
      <c r="B27" s="2">
        <v>46014</v>
      </c>
      <c r="C27" s="1"/>
      <c r="D27" s="1">
        <v>7</v>
      </c>
      <c r="E27" s="7">
        <v>62000</v>
      </c>
      <c r="F27" s="14">
        <f t="shared" si="36"/>
        <v>124000</v>
      </c>
      <c r="G27" s="7">
        <v>1364000</v>
      </c>
      <c r="H27" s="10">
        <v>1240000</v>
      </c>
      <c r="I27" s="2">
        <f t="shared" si="37"/>
        <v>46154</v>
      </c>
      <c r="J27" s="1">
        <f t="shared" ca="1" si="38"/>
        <v>5</v>
      </c>
      <c r="K27" s="3" t="str">
        <f t="shared" ca="1" si="39"/>
        <v>VIGENTE</v>
      </c>
      <c r="L27" s="1">
        <f t="shared" si="40"/>
        <v>20</v>
      </c>
      <c r="M27" s="1">
        <f t="shared" si="41"/>
        <v>2</v>
      </c>
    </row>
    <row r="28" spans="1:13" x14ac:dyDescent="0.25">
      <c r="A28" s="1" t="s">
        <v>82</v>
      </c>
      <c r="B28" s="2">
        <v>46009</v>
      </c>
      <c r="C28" s="1" t="s">
        <v>13</v>
      </c>
      <c r="D28" s="1">
        <v>7</v>
      </c>
      <c r="E28" s="7">
        <v>50000</v>
      </c>
      <c r="F28" s="14">
        <f t="shared" si="36"/>
        <v>350000</v>
      </c>
      <c r="G28" s="7">
        <v>1150000</v>
      </c>
      <c r="H28" s="10">
        <v>800000</v>
      </c>
      <c r="I28" s="2">
        <f t="shared" si="37"/>
        <v>46128</v>
      </c>
      <c r="J28" s="1">
        <f t="shared" ca="1" si="38"/>
        <v>-21</v>
      </c>
      <c r="K28" s="3" t="str">
        <f t="shared" ca="1" si="39"/>
        <v>VENCIDO</v>
      </c>
      <c r="L28" s="1">
        <f t="shared" si="40"/>
        <v>16</v>
      </c>
      <c r="M28" s="1">
        <f t="shared" si="41"/>
        <v>7</v>
      </c>
    </row>
    <row r="29" spans="1:13" x14ac:dyDescent="0.25">
      <c r="A29" s="1" t="s">
        <v>83</v>
      </c>
      <c r="B29" s="2">
        <v>46035</v>
      </c>
      <c r="C29" s="1" t="s">
        <v>13</v>
      </c>
      <c r="D29" s="1">
        <v>7</v>
      </c>
      <c r="E29" s="7">
        <v>35000</v>
      </c>
      <c r="F29" s="14">
        <f t="shared" si="36"/>
        <v>315000</v>
      </c>
      <c r="G29" s="7">
        <v>875000</v>
      </c>
      <c r="H29" s="10">
        <v>560000</v>
      </c>
      <c r="I29" s="2">
        <f t="shared" si="37"/>
        <v>46154</v>
      </c>
      <c r="J29" s="1">
        <f t="shared" ca="1" si="38"/>
        <v>5</v>
      </c>
      <c r="K29" s="3" t="str">
        <f t="shared" ca="1" si="39"/>
        <v>VIGENTE</v>
      </c>
      <c r="L29" s="1">
        <f t="shared" si="40"/>
        <v>16</v>
      </c>
      <c r="M29" s="1">
        <f t="shared" si="41"/>
        <v>9</v>
      </c>
    </row>
    <row r="30" spans="1:13" x14ac:dyDescent="0.25">
      <c r="A30" s="1" t="s">
        <v>86</v>
      </c>
      <c r="B30" s="2">
        <v>46011</v>
      </c>
      <c r="C30" s="1" t="s">
        <v>13</v>
      </c>
      <c r="D30" s="1">
        <v>7</v>
      </c>
      <c r="E30" s="7">
        <v>35000</v>
      </c>
      <c r="F30" s="14">
        <f t="shared" ref="F30:F31" si="42">G30-H30</f>
        <v>35000</v>
      </c>
      <c r="G30" s="7">
        <v>595000</v>
      </c>
      <c r="H30" s="10">
        <v>560000</v>
      </c>
      <c r="I30" s="2">
        <f t="shared" ref="I30:I31" si="43">IF(F30=0,"",IF(C30="CRED",B30+(INT((G30-F30)/E30)+1)*D30,B30+INT((G30-F30)/E30)*D30))</f>
        <v>46130</v>
      </c>
      <c r="J30" s="1">
        <f t="shared" ref="J30:J31" ca="1" si="44">IF(I30="","",I30-TODAY())</f>
        <v>-19</v>
      </c>
      <c r="K30" s="3" t="str">
        <f t="shared" ref="K30:K31" ca="1" si="45">IF(J30="","",IF(J30&lt;0,"VENCIDO",IF(J30&lt;=1,"PRÓXIMO","VIGENTE")))</f>
        <v>VENCIDO</v>
      </c>
      <c r="L30" s="1">
        <f t="shared" ref="L30:L31" si="46">IF(F30=G30,0,INT((G30-F30)/E30))</f>
        <v>16</v>
      </c>
      <c r="M30" s="1">
        <f t="shared" ref="M30:M31" si="47">IF(F30=0,0,INT(F30/E30)+(IF(MOD(F30,E30)&gt;0,1,0)))</f>
        <v>1</v>
      </c>
    </row>
    <row r="31" spans="1:13" x14ac:dyDescent="0.25">
      <c r="A31" s="1" t="s">
        <v>87</v>
      </c>
      <c r="B31" s="2">
        <v>46011</v>
      </c>
      <c r="C31" s="1" t="s">
        <v>13</v>
      </c>
      <c r="D31" s="1">
        <v>7</v>
      </c>
      <c r="E31" s="7">
        <v>35000</v>
      </c>
      <c r="F31" s="14">
        <f t="shared" si="42"/>
        <v>350000</v>
      </c>
      <c r="G31" s="7">
        <v>1050000</v>
      </c>
      <c r="H31" s="10">
        <v>700000</v>
      </c>
      <c r="I31" s="2">
        <f t="shared" si="43"/>
        <v>46158</v>
      </c>
      <c r="J31" s="1">
        <f t="shared" ca="1" si="44"/>
        <v>9</v>
      </c>
      <c r="K31" s="3" t="str">
        <f t="shared" ca="1" si="45"/>
        <v>VIGENTE</v>
      </c>
      <c r="L31" s="1">
        <f t="shared" si="46"/>
        <v>20</v>
      </c>
      <c r="M31" s="1">
        <f t="shared" si="47"/>
        <v>10</v>
      </c>
    </row>
    <row r="32" spans="1:13" x14ac:dyDescent="0.25">
      <c r="A32" s="1" t="s">
        <v>94</v>
      </c>
      <c r="B32" s="2">
        <v>46017</v>
      </c>
      <c r="C32" s="1"/>
      <c r="D32" s="1">
        <v>7</v>
      </c>
      <c r="E32" s="7">
        <v>35000</v>
      </c>
      <c r="F32" s="14">
        <f t="shared" ref="F32:F45" si="48">G32-H32</f>
        <v>385000</v>
      </c>
      <c r="G32" s="7">
        <v>1050000</v>
      </c>
      <c r="H32" s="10">
        <v>665000</v>
      </c>
      <c r="I32" s="2">
        <f t="shared" ref="I32:I45" si="49">IF(F32=0,"",IF(C32="CRED",B32+(INT((G32-F32)/E32)+1)*D32,B32+INT((G32-F32)/E32)*D32))</f>
        <v>46150</v>
      </c>
      <c r="J32" s="1">
        <f t="shared" ref="J32:J45" ca="1" si="50">IF(I32="","",I32-TODAY())</f>
        <v>1</v>
      </c>
      <c r="K32" s="3" t="str">
        <f t="shared" ref="K32:K45" ca="1" si="51">IF(J32="","",IF(J32&lt;0,"VENCIDO",IF(J32&lt;=1,"PRÓXIMO","VIGENTE")))</f>
        <v>PRÓXIMO</v>
      </c>
      <c r="L32" s="1">
        <f t="shared" ref="L32:L45" si="52">IF(F32=G32,0,INT((G32-F32)/E32))</f>
        <v>19</v>
      </c>
      <c r="M32" s="1">
        <f t="shared" ref="M32:M45" si="53">IF(F32=0,0,INT(F32/E32)+(IF(MOD(F32,E32)&gt;0,1,0)))</f>
        <v>11</v>
      </c>
    </row>
    <row r="33" spans="1:13" x14ac:dyDescent="0.25">
      <c r="A33" s="1" t="s">
        <v>98</v>
      </c>
      <c r="B33" s="2">
        <v>46017</v>
      </c>
      <c r="C33" s="1" t="s">
        <v>13</v>
      </c>
      <c r="D33" s="1">
        <v>7</v>
      </c>
      <c r="E33" s="7">
        <v>57000</v>
      </c>
      <c r="F33" s="14">
        <f t="shared" si="48"/>
        <v>307000</v>
      </c>
      <c r="G33" s="7">
        <v>798000</v>
      </c>
      <c r="H33" s="10">
        <v>491000</v>
      </c>
      <c r="I33" s="2">
        <f t="shared" si="49"/>
        <v>46080</v>
      </c>
      <c r="J33" s="1">
        <f t="shared" ca="1" si="50"/>
        <v>-69</v>
      </c>
      <c r="K33" s="3" t="str">
        <f t="shared" ca="1" si="51"/>
        <v>VENCIDO</v>
      </c>
      <c r="L33" s="1">
        <f t="shared" si="52"/>
        <v>8</v>
      </c>
      <c r="M33" s="1">
        <f t="shared" si="53"/>
        <v>6</v>
      </c>
    </row>
    <row r="34" spans="1:13" x14ac:dyDescent="0.25">
      <c r="A34" s="1" t="s">
        <v>102</v>
      </c>
      <c r="B34" s="2">
        <v>46018</v>
      </c>
      <c r="C34" s="1" t="s">
        <v>13</v>
      </c>
      <c r="D34" s="1">
        <v>7</v>
      </c>
      <c r="E34" s="7">
        <v>35000</v>
      </c>
      <c r="F34" s="14">
        <f t="shared" si="48"/>
        <v>210000</v>
      </c>
      <c r="G34" s="7">
        <v>840000</v>
      </c>
      <c r="H34" s="10">
        <v>630000</v>
      </c>
      <c r="I34" s="2">
        <f t="shared" si="49"/>
        <v>46151</v>
      </c>
      <c r="J34" s="1">
        <f t="shared" ca="1" si="50"/>
        <v>2</v>
      </c>
      <c r="K34" s="3" t="str">
        <f t="shared" ca="1" si="51"/>
        <v>VIGENTE</v>
      </c>
      <c r="L34" s="1">
        <f t="shared" si="52"/>
        <v>18</v>
      </c>
      <c r="M34" s="1">
        <f t="shared" si="53"/>
        <v>6</v>
      </c>
    </row>
    <row r="35" spans="1:13" x14ac:dyDescent="0.25">
      <c r="A35" s="1" t="s">
        <v>319</v>
      </c>
      <c r="B35" s="2">
        <v>46097</v>
      </c>
      <c r="C35" s="1" t="s">
        <v>13</v>
      </c>
      <c r="D35" s="1">
        <v>7</v>
      </c>
      <c r="E35" s="7">
        <v>57000</v>
      </c>
      <c r="F35" s="14">
        <f t="shared" si="48"/>
        <v>236000</v>
      </c>
      <c r="G35" s="7">
        <v>570000</v>
      </c>
      <c r="H35" s="10">
        <v>334000</v>
      </c>
      <c r="I35" s="2">
        <f t="shared" si="49"/>
        <v>46139</v>
      </c>
      <c r="J35" s="1">
        <f t="shared" ca="1" si="50"/>
        <v>-10</v>
      </c>
      <c r="K35" s="3" t="str">
        <f t="shared" ca="1" si="51"/>
        <v>VENCIDO</v>
      </c>
      <c r="L35" s="1">
        <f t="shared" si="52"/>
        <v>5</v>
      </c>
      <c r="M35" s="1">
        <f t="shared" si="53"/>
        <v>5</v>
      </c>
    </row>
    <row r="36" spans="1:13" x14ac:dyDescent="0.25">
      <c r="A36" s="1" t="s">
        <v>104</v>
      </c>
      <c r="B36" s="2">
        <v>46020</v>
      </c>
      <c r="C36" s="1"/>
      <c r="D36" s="1">
        <v>7</v>
      </c>
      <c r="E36" s="7">
        <v>28000</v>
      </c>
      <c r="F36" s="14">
        <f t="shared" si="48"/>
        <v>28000</v>
      </c>
      <c r="G36" s="7">
        <v>504000</v>
      </c>
      <c r="H36" s="10">
        <v>476000</v>
      </c>
      <c r="I36" s="2">
        <f t="shared" si="49"/>
        <v>46139</v>
      </c>
      <c r="J36" s="1">
        <f t="shared" ca="1" si="50"/>
        <v>-10</v>
      </c>
      <c r="K36" s="3" t="str">
        <f t="shared" ca="1" si="51"/>
        <v>VENCIDO</v>
      </c>
      <c r="L36" s="1">
        <f t="shared" si="52"/>
        <v>17</v>
      </c>
      <c r="M36" s="1">
        <f t="shared" si="53"/>
        <v>1</v>
      </c>
    </row>
    <row r="37" spans="1:13" x14ac:dyDescent="0.25">
      <c r="A37" s="1" t="s">
        <v>105</v>
      </c>
      <c r="B37" s="2">
        <v>46020</v>
      </c>
      <c r="C37" s="1"/>
      <c r="D37" s="1">
        <v>7</v>
      </c>
      <c r="E37" s="7">
        <v>35000</v>
      </c>
      <c r="F37" s="14">
        <f t="shared" si="48"/>
        <v>69000</v>
      </c>
      <c r="G37" s="7">
        <v>595000</v>
      </c>
      <c r="H37" s="10">
        <v>526000</v>
      </c>
      <c r="I37" s="2">
        <f t="shared" si="49"/>
        <v>46125</v>
      </c>
      <c r="J37" s="1">
        <f t="shared" ca="1" si="50"/>
        <v>-24</v>
      </c>
      <c r="K37" s="3" t="str">
        <f t="shared" ca="1" si="51"/>
        <v>VENCIDO</v>
      </c>
      <c r="L37" s="1">
        <f t="shared" si="52"/>
        <v>15</v>
      </c>
      <c r="M37" s="1">
        <f t="shared" si="53"/>
        <v>2</v>
      </c>
    </row>
    <row r="38" spans="1:13" x14ac:dyDescent="0.25">
      <c r="A38" s="1" t="s">
        <v>106</v>
      </c>
      <c r="B38" s="2">
        <v>46020</v>
      </c>
      <c r="C38" s="1"/>
      <c r="D38" s="1">
        <v>7</v>
      </c>
      <c r="E38" s="7">
        <v>40000</v>
      </c>
      <c r="F38" s="14">
        <f t="shared" si="48"/>
        <v>540000</v>
      </c>
      <c r="G38" s="7">
        <v>1320000</v>
      </c>
      <c r="H38" s="10">
        <v>780000</v>
      </c>
      <c r="I38" s="2">
        <f t="shared" si="49"/>
        <v>46153</v>
      </c>
      <c r="J38" s="1">
        <f t="shared" ca="1" si="50"/>
        <v>4</v>
      </c>
      <c r="K38" s="3" t="str">
        <f t="shared" ca="1" si="51"/>
        <v>VIGENTE</v>
      </c>
      <c r="L38" s="1">
        <f t="shared" si="52"/>
        <v>19</v>
      </c>
      <c r="M38" s="1">
        <f t="shared" si="53"/>
        <v>14</v>
      </c>
    </row>
    <row r="39" spans="1:13" x14ac:dyDescent="0.25">
      <c r="A39" s="1" t="s">
        <v>109</v>
      </c>
      <c r="B39" s="2">
        <v>46021</v>
      </c>
      <c r="C39" s="1" t="s">
        <v>13</v>
      </c>
      <c r="D39" s="1">
        <v>7</v>
      </c>
      <c r="E39" s="7">
        <v>49000</v>
      </c>
      <c r="F39" s="14">
        <f t="shared" si="48"/>
        <v>49000</v>
      </c>
      <c r="G39" s="7">
        <v>980000</v>
      </c>
      <c r="H39" s="10">
        <v>931000</v>
      </c>
      <c r="I39" s="2">
        <f t="shared" si="49"/>
        <v>46161</v>
      </c>
      <c r="J39" s="1">
        <f t="shared" ca="1" si="50"/>
        <v>12</v>
      </c>
      <c r="K39" s="3" t="str">
        <f t="shared" ca="1" si="51"/>
        <v>VIGENTE</v>
      </c>
      <c r="L39" s="1">
        <f t="shared" si="52"/>
        <v>19</v>
      </c>
      <c r="M39" s="1">
        <f t="shared" si="53"/>
        <v>1</v>
      </c>
    </row>
    <row r="40" spans="1:13" x14ac:dyDescent="0.25">
      <c r="A40" s="1" t="s">
        <v>601</v>
      </c>
      <c r="B40" s="2">
        <v>46021</v>
      </c>
      <c r="C40" s="1" t="s">
        <v>13</v>
      </c>
      <c r="D40" s="1">
        <v>15</v>
      </c>
      <c r="E40" s="7">
        <v>95000</v>
      </c>
      <c r="F40" s="14">
        <f t="shared" si="48"/>
        <v>190000</v>
      </c>
      <c r="G40" s="7">
        <v>380000</v>
      </c>
      <c r="H40" s="10">
        <v>190000</v>
      </c>
      <c r="I40" s="2">
        <f t="shared" si="49"/>
        <v>46066</v>
      </c>
      <c r="J40" s="1">
        <f t="shared" ca="1" si="50"/>
        <v>-83</v>
      </c>
      <c r="K40" s="3" t="str">
        <f t="shared" ca="1" si="51"/>
        <v>VENCIDO</v>
      </c>
      <c r="L40" s="1">
        <f t="shared" si="52"/>
        <v>2</v>
      </c>
      <c r="M40" s="1">
        <f t="shared" si="53"/>
        <v>2</v>
      </c>
    </row>
    <row r="41" spans="1:13" x14ac:dyDescent="0.25">
      <c r="A41" s="1" t="s">
        <v>119</v>
      </c>
      <c r="B41" s="2">
        <v>46027</v>
      </c>
      <c r="C41" s="1" t="s">
        <v>13</v>
      </c>
      <c r="D41" s="1">
        <v>7</v>
      </c>
      <c r="E41" s="7">
        <v>38000</v>
      </c>
      <c r="F41" s="14">
        <f t="shared" si="48"/>
        <v>532000</v>
      </c>
      <c r="G41" s="7">
        <v>1140000</v>
      </c>
      <c r="H41" s="10">
        <v>608000</v>
      </c>
      <c r="I41" s="2">
        <f t="shared" si="49"/>
        <v>46146</v>
      </c>
      <c r="J41" s="1">
        <f t="shared" ca="1" si="50"/>
        <v>-3</v>
      </c>
      <c r="K41" s="3" t="str">
        <f t="shared" ca="1" si="51"/>
        <v>VENCIDO</v>
      </c>
      <c r="L41" s="1">
        <f t="shared" si="52"/>
        <v>16</v>
      </c>
      <c r="M41" s="1">
        <f t="shared" si="53"/>
        <v>14</v>
      </c>
    </row>
    <row r="42" spans="1:13" x14ac:dyDescent="0.25">
      <c r="A42" s="1" t="s">
        <v>120</v>
      </c>
      <c r="B42" s="2">
        <v>46027</v>
      </c>
      <c r="C42" s="1"/>
      <c r="D42" s="1">
        <v>7</v>
      </c>
      <c r="E42" s="7">
        <v>40000</v>
      </c>
      <c r="F42" s="14">
        <f t="shared" si="48"/>
        <v>200000</v>
      </c>
      <c r="G42" s="7">
        <v>920000</v>
      </c>
      <c r="H42" s="10">
        <v>720000</v>
      </c>
      <c r="I42" s="2">
        <f t="shared" si="49"/>
        <v>46153</v>
      </c>
      <c r="J42" s="1">
        <f t="shared" ca="1" si="50"/>
        <v>4</v>
      </c>
      <c r="K42" s="3" t="str">
        <f t="shared" ca="1" si="51"/>
        <v>VIGENTE</v>
      </c>
      <c r="L42" s="1">
        <f t="shared" si="52"/>
        <v>18</v>
      </c>
      <c r="M42" s="1">
        <f t="shared" si="53"/>
        <v>5</v>
      </c>
    </row>
    <row r="43" spans="1:13" x14ac:dyDescent="0.25">
      <c r="A43" s="1" t="s">
        <v>121</v>
      </c>
      <c r="B43" s="2">
        <v>46027</v>
      </c>
      <c r="C43" s="1" t="s">
        <v>13</v>
      </c>
      <c r="D43" s="1">
        <v>7</v>
      </c>
      <c r="E43" s="7">
        <v>50000</v>
      </c>
      <c r="F43" s="14">
        <f t="shared" si="48"/>
        <v>1040000</v>
      </c>
      <c r="G43" s="7">
        <v>1750000</v>
      </c>
      <c r="H43" s="10">
        <v>710000</v>
      </c>
      <c r="I43" s="2">
        <f t="shared" si="49"/>
        <v>46132</v>
      </c>
      <c r="J43" s="1">
        <f t="shared" ca="1" si="50"/>
        <v>-17</v>
      </c>
      <c r="K43" s="3" t="str">
        <f t="shared" ca="1" si="51"/>
        <v>VENCIDO</v>
      </c>
      <c r="L43" s="1">
        <f t="shared" si="52"/>
        <v>14</v>
      </c>
      <c r="M43" s="1">
        <f t="shared" si="53"/>
        <v>21</v>
      </c>
    </row>
    <row r="44" spans="1:13" x14ac:dyDescent="0.25">
      <c r="A44" s="1" t="s">
        <v>124</v>
      </c>
      <c r="B44" s="2">
        <v>46085</v>
      </c>
      <c r="C44" s="1" t="s">
        <v>13</v>
      </c>
      <c r="D44" s="1">
        <v>7</v>
      </c>
      <c r="E44" s="7">
        <v>80000</v>
      </c>
      <c r="F44" s="14">
        <f t="shared" si="48"/>
        <v>1920000</v>
      </c>
      <c r="G44" s="7">
        <v>2480000</v>
      </c>
      <c r="H44" s="10">
        <v>560000</v>
      </c>
      <c r="I44" s="2">
        <f t="shared" si="49"/>
        <v>46141</v>
      </c>
      <c r="J44" s="1">
        <f t="shared" ca="1" si="50"/>
        <v>-8</v>
      </c>
      <c r="K44" s="3" t="str">
        <f t="shared" ca="1" si="51"/>
        <v>VENCIDO</v>
      </c>
      <c r="L44" s="1">
        <f t="shared" si="52"/>
        <v>7</v>
      </c>
      <c r="M44" s="1">
        <f t="shared" si="53"/>
        <v>24</v>
      </c>
    </row>
    <row r="45" spans="1:13" x14ac:dyDescent="0.25">
      <c r="A45" s="1" t="s">
        <v>127</v>
      </c>
      <c r="B45" s="2">
        <v>46029</v>
      </c>
      <c r="C45" s="1"/>
      <c r="D45" s="1">
        <v>15</v>
      </c>
      <c r="E45" s="7">
        <v>112000</v>
      </c>
      <c r="F45" s="14">
        <f t="shared" si="48"/>
        <v>1120000</v>
      </c>
      <c r="G45" s="7">
        <v>2240000</v>
      </c>
      <c r="H45" s="10">
        <v>1120000</v>
      </c>
      <c r="I45" s="2">
        <f t="shared" si="49"/>
        <v>46179</v>
      </c>
      <c r="J45" s="1">
        <f t="shared" ca="1" si="50"/>
        <v>30</v>
      </c>
      <c r="K45" s="3" t="str">
        <f t="shared" ca="1" si="51"/>
        <v>VIGENTE</v>
      </c>
      <c r="L45" s="1">
        <f t="shared" si="52"/>
        <v>10</v>
      </c>
      <c r="M45" s="1">
        <f t="shared" si="53"/>
        <v>10</v>
      </c>
    </row>
    <row r="46" spans="1:13" x14ac:dyDescent="0.25">
      <c r="A46" s="1" t="s">
        <v>130</v>
      </c>
      <c r="B46" s="2">
        <v>46031</v>
      </c>
      <c r="C46" s="1" t="s">
        <v>13</v>
      </c>
      <c r="D46" s="1">
        <v>7</v>
      </c>
      <c r="E46" s="7">
        <v>150000</v>
      </c>
      <c r="F46" s="14">
        <f t="shared" ref="F46:F66" si="54">G46-H46</f>
        <v>1200000</v>
      </c>
      <c r="G46" s="7">
        <v>3000000</v>
      </c>
      <c r="H46" s="10">
        <v>1800000</v>
      </c>
      <c r="I46" s="2">
        <f t="shared" ref="I46:I66" si="55">IF(F46=0,"",IF(C46="CRED",B46+(INT((G46-F46)/E46)+1)*D46,B46+INT((G46-F46)/E46)*D46))</f>
        <v>46122</v>
      </c>
      <c r="J46" s="1">
        <f t="shared" ref="J46:J66" ca="1" si="56">IF(I46="","",I46-TODAY())</f>
        <v>-27</v>
      </c>
      <c r="K46" s="3" t="str">
        <f t="shared" ref="K46:K66" ca="1" si="57">IF(J46="","",IF(J46&lt;0,"VENCIDO",IF(J46&lt;=1,"PRÓXIMO","VIGENTE")))</f>
        <v>VENCIDO</v>
      </c>
      <c r="L46" s="1">
        <f t="shared" ref="L46:L66" si="58">IF(F46=G46,0,INT((G46-F46)/E46))</f>
        <v>12</v>
      </c>
      <c r="M46" s="1">
        <f t="shared" ref="M46:M66" si="59">IF(F46=0,0,INT(F46/E46)+(IF(MOD(F46,E46)&gt;0,1,0)))</f>
        <v>8</v>
      </c>
    </row>
    <row r="47" spans="1:13" x14ac:dyDescent="0.25">
      <c r="A47" s="1" t="s">
        <v>131</v>
      </c>
      <c r="B47" s="2">
        <v>46034</v>
      </c>
      <c r="C47" s="1"/>
      <c r="D47" s="1">
        <v>15</v>
      </c>
      <c r="E47" s="7">
        <v>34000</v>
      </c>
      <c r="F47" s="14">
        <f t="shared" si="54"/>
        <v>102000</v>
      </c>
      <c r="G47" s="7">
        <v>340000</v>
      </c>
      <c r="H47" s="10">
        <v>238000</v>
      </c>
      <c r="I47" s="2">
        <f t="shared" si="55"/>
        <v>46139</v>
      </c>
      <c r="J47" s="1">
        <f t="shared" ca="1" si="56"/>
        <v>-10</v>
      </c>
      <c r="K47" s="3" t="str">
        <f t="shared" ca="1" si="57"/>
        <v>VENCIDO</v>
      </c>
      <c r="L47" s="1">
        <f t="shared" si="58"/>
        <v>7</v>
      </c>
      <c r="M47" s="1">
        <f t="shared" si="59"/>
        <v>3</v>
      </c>
    </row>
    <row r="48" spans="1:13" x14ac:dyDescent="0.25">
      <c r="A48" s="1" t="s">
        <v>132</v>
      </c>
      <c r="B48" s="2">
        <v>46038</v>
      </c>
      <c r="C48" s="1" t="s">
        <v>13</v>
      </c>
      <c r="D48" s="1">
        <v>7</v>
      </c>
      <c r="E48" s="7">
        <v>35000</v>
      </c>
      <c r="F48" s="14">
        <f t="shared" si="54"/>
        <v>1085000</v>
      </c>
      <c r="G48" s="7">
        <v>1155000</v>
      </c>
      <c r="H48" s="10">
        <v>70000</v>
      </c>
      <c r="I48" s="2">
        <f t="shared" si="55"/>
        <v>46059</v>
      </c>
      <c r="J48" s="1">
        <f t="shared" ca="1" si="56"/>
        <v>-90</v>
      </c>
      <c r="K48" s="3" t="str">
        <f t="shared" ca="1" si="57"/>
        <v>VENCIDO</v>
      </c>
      <c r="L48" s="1">
        <f t="shared" si="58"/>
        <v>2</v>
      </c>
      <c r="M48" s="1">
        <f t="shared" si="59"/>
        <v>31</v>
      </c>
    </row>
    <row r="49" spans="1:13" x14ac:dyDescent="0.25">
      <c r="A49" s="1" t="s">
        <v>135</v>
      </c>
      <c r="B49" s="2">
        <v>46036</v>
      </c>
      <c r="C49" s="1"/>
      <c r="D49" s="1">
        <v>7</v>
      </c>
      <c r="E49" s="7">
        <v>46500</v>
      </c>
      <c r="F49" s="14">
        <f t="shared" si="54"/>
        <v>509500</v>
      </c>
      <c r="G49" s="7">
        <v>1162500</v>
      </c>
      <c r="H49" s="10">
        <v>653000</v>
      </c>
      <c r="I49" s="2">
        <f t="shared" si="55"/>
        <v>46134</v>
      </c>
      <c r="J49" s="1">
        <f t="shared" ca="1" si="56"/>
        <v>-15</v>
      </c>
      <c r="K49" s="3" t="str">
        <f t="shared" ca="1" si="57"/>
        <v>VENCIDO</v>
      </c>
      <c r="L49" s="1">
        <f t="shared" si="58"/>
        <v>14</v>
      </c>
      <c r="M49" s="1">
        <f t="shared" si="59"/>
        <v>11</v>
      </c>
    </row>
    <row r="50" spans="1:13" x14ac:dyDescent="0.25">
      <c r="A50" s="1" t="s">
        <v>136</v>
      </c>
      <c r="B50" s="2">
        <v>46036</v>
      </c>
      <c r="C50" s="1"/>
      <c r="D50" s="1">
        <v>7</v>
      </c>
      <c r="E50" s="7">
        <v>38000</v>
      </c>
      <c r="F50" s="14">
        <f t="shared" si="54"/>
        <v>190000</v>
      </c>
      <c r="G50" s="7">
        <v>532000</v>
      </c>
      <c r="H50" s="10">
        <v>342000</v>
      </c>
      <c r="I50" s="2">
        <f t="shared" si="55"/>
        <v>46099</v>
      </c>
      <c r="J50" s="1">
        <f t="shared" ca="1" si="56"/>
        <v>-50</v>
      </c>
      <c r="K50" s="3" t="str">
        <f t="shared" ca="1" si="57"/>
        <v>VENCIDO</v>
      </c>
      <c r="L50" s="1">
        <f t="shared" si="58"/>
        <v>9</v>
      </c>
      <c r="M50" s="1">
        <f t="shared" si="59"/>
        <v>5</v>
      </c>
    </row>
    <row r="51" spans="1:13" x14ac:dyDescent="0.25">
      <c r="A51" s="1" t="s">
        <v>137</v>
      </c>
      <c r="B51" s="2">
        <v>46036</v>
      </c>
      <c r="C51" s="1"/>
      <c r="D51" s="1">
        <v>7</v>
      </c>
      <c r="E51" s="7">
        <v>108000</v>
      </c>
      <c r="F51" s="14">
        <f t="shared" si="54"/>
        <v>614000</v>
      </c>
      <c r="G51" s="7">
        <v>1728000</v>
      </c>
      <c r="H51" s="10">
        <v>1114000</v>
      </c>
      <c r="I51" s="2">
        <f t="shared" si="55"/>
        <v>46106</v>
      </c>
      <c r="J51" s="1">
        <f t="shared" ca="1" si="56"/>
        <v>-43</v>
      </c>
      <c r="K51" s="3" t="str">
        <f t="shared" ca="1" si="57"/>
        <v>VENCIDO</v>
      </c>
      <c r="L51" s="1">
        <f t="shared" si="58"/>
        <v>10</v>
      </c>
      <c r="M51" s="1">
        <f t="shared" si="59"/>
        <v>6</v>
      </c>
    </row>
    <row r="52" spans="1:13" x14ac:dyDescent="0.25">
      <c r="A52" s="1" t="s">
        <v>17</v>
      </c>
      <c r="B52" s="2">
        <v>46032</v>
      </c>
      <c r="C52" s="1" t="s">
        <v>13</v>
      </c>
      <c r="D52" s="1">
        <v>7</v>
      </c>
      <c r="E52" s="7">
        <v>40000</v>
      </c>
      <c r="F52" s="14">
        <f t="shared" si="54"/>
        <v>120000</v>
      </c>
      <c r="G52" s="7">
        <v>760000</v>
      </c>
      <c r="H52" s="10">
        <v>640000</v>
      </c>
      <c r="I52" s="2">
        <f t="shared" si="55"/>
        <v>46151</v>
      </c>
      <c r="J52" s="1">
        <f t="shared" ca="1" si="56"/>
        <v>2</v>
      </c>
      <c r="K52" s="3" t="str">
        <f t="shared" ca="1" si="57"/>
        <v>VIGENTE</v>
      </c>
      <c r="L52" s="1">
        <f t="shared" si="58"/>
        <v>16</v>
      </c>
      <c r="M52" s="1">
        <f t="shared" si="59"/>
        <v>3</v>
      </c>
    </row>
    <row r="53" spans="1:13" x14ac:dyDescent="0.25">
      <c r="A53" s="1" t="s">
        <v>139</v>
      </c>
      <c r="B53" s="2">
        <v>46038</v>
      </c>
      <c r="C53" s="1" t="s">
        <v>13</v>
      </c>
      <c r="D53" s="1">
        <v>7</v>
      </c>
      <c r="E53" s="7">
        <v>40000</v>
      </c>
      <c r="F53" s="14">
        <f t="shared" si="54"/>
        <v>1120000</v>
      </c>
      <c r="G53" s="7">
        <v>1600000</v>
      </c>
      <c r="H53" s="10">
        <v>480000</v>
      </c>
      <c r="I53" s="2">
        <f t="shared" si="55"/>
        <v>46129</v>
      </c>
      <c r="J53" s="1">
        <f t="shared" ca="1" si="56"/>
        <v>-20</v>
      </c>
      <c r="K53" s="3" t="str">
        <f t="shared" ca="1" si="57"/>
        <v>VENCIDO</v>
      </c>
      <c r="L53" s="1">
        <f t="shared" si="58"/>
        <v>12</v>
      </c>
      <c r="M53" s="1">
        <f t="shared" si="59"/>
        <v>28</v>
      </c>
    </row>
    <row r="54" spans="1:13" x14ac:dyDescent="0.25">
      <c r="A54" s="1" t="s">
        <v>142</v>
      </c>
      <c r="B54" s="2">
        <v>46037</v>
      </c>
      <c r="C54" s="1" t="s">
        <v>13</v>
      </c>
      <c r="D54" s="1">
        <v>7</v>
      </c>
      <c r="E54" s="7">
        <v>54800</v>
      </c>
      <c r="F54" s="14">
        <f t="shared" si="54"/>
        <v>556300</v>
      </c>
      <c r="G54" s="7">
        <v>1370000</v>
      </c>
      <c r="H54" s="10">
        <v>813700</v>
      </c>
      <c r="I54" s="2">
        <f t="shared" si="55"/>
        <v>46142</v>
      </c>
      <c r="J54" s="1">
        <f t="shared" ca="1" si="56"/>
        <v>-7</v>
      </c>
      <c r="K54" s="3" t="str">
        <f t="shared" ca="1" si="57"/>
        <v>VENCIDO</v>
      </c>
      <c r="L54" s="1">
        <f t="shared" si="58"/>
        <v>14</v>
      </c>
      <c r="M54" s="1">
        <f t="shared" si="59"/>
        <v>11</v>
      </c>
    </row>
    <row r="55" spans="1:13" x14ac:dyDescent="0.25">
      <c r="A55" s="1" t="s">
        <v>143</v>
      </c>
      <c r="B55" s="2">
        <v>46038</v>
      </c>
      <c r="C55" s="1" t="s">
        <v>13</v>
      </c>
      <c r="D55" s="1">
        <v>7</v>
      </c>
      <c r="E55" s="7">
        <v>30000</v>
      </c>
      <c r="F55" s="14">
        <f t="shared" si="54"/>
        <v>120000</v>
      </c>
      <c r="G55" s="7">
        <v>540000</v>
      </c>
      <c r="H55" s="10">
        <v>420000</v>
      </c>
      <c r="I55" s="2">
        <f t="shared" si="55"/>
        <v>46143</v>
      </c>
      <c r="J55" s="1">
        <f t="shared" ca="1" si="56"/>
        <v>-6</v>
      </c>
      <c r="K55" s="3" t="str">
        <f t="shared" ca="1" si="57"/>
        <v>VENCIDO</v>
      </c>
      <c r="L55" s="1">
        <f t="shared" si="58"/>
        <v>14</v>
      </c>
      <c r="M55" s="1">
        <f t="shared" si="59"/>
        <v>4</v>
      </c>
    </row>
    <row r="56" spans="1:13" x14ac:dyDescent="0.25">
      <c r="A56" s="1" t="s">
        <v>144</v>
      </c>
      <c r="B56" s="2">
        <v>46038</v>
      </c>
      <c r="C56" s="1"/>
      <c r="D56" s="1">
        <v>7</v>
      </c>
      <c r="E56" s="7">
        <v>27000</v>
      </c>
      <c r="F56" s="14">
        <f t="shared" si="54"/>
        <v>135000</v>
      </c>
      <c r="G56" s="7">
        <v>540000</v>
      </c>
      <c r="H56" s="10">
        <v>405000</v>
      </c>
      <c r="I56" s="2">
        <f t="shared" si="55"/>
        <v>46143</v>
      </c>
      <c r="J56" s="1">
        <f t="shared" ca="1" si="56"/>
        <v>-6</v>
      </c>
      <c r="K56" s="3" t="str">
        <f t="shared" ca="1" si="57"/>
        <v>VENCIDO</v>
      </c>
      <c r="L56" s="1">
        <f t="shared" si="58"/>
        <v>15</v>
      </c>
      <c r="M56" s="1">
        <f t="shared" si="59"/>
        <v>5</v>
      </c>
    </row>
    <row r="57" spans="1:13" x14ac:dyDescent="0.25">
      <c r="A57" s="1" t="s">
        <v>145</v>
      </c>
      <c r="B57" s="2">
        <v>46038</v>
      </c>
      <c r="C57" s="1" t="s">
        <v>13</v>
      </c>
      <c r="D57" s="1">
        <v>7</v>
      </c>
      <c r="E57" s="7">
        <v>21000</v>
      </c>
      <c r="F57" s="14">
        <f t="shared" si="54"/>
        <v>21000</v>
      </c>
      <c r="G57" s="7">
        <v>336000</v>
      </c>
      <c r="H57" s="10">
        <v>315000</v>
      </c>
      <c r="I57" s="2">
        <f t="shared" si="55"/>
        <v>46150</v>
      </c>
      <c r="J57" s="1">
        <f t="shared" ca="1" si="56"/>
        <v>1</v>
      </c>
      <c r="K57" s="3" t="str">
        <f t="shared" ca="1" si="57"/>
        <v>PRÓXIMO</v>
      </c>
      <c r="L57" s="1">
        <f t="shared" si="58"/>
        <v>15</v>
      </c>
      <c r="M57" s="1">
        <f t="shared" si="59"/>
        <v>1</v>
      </c>
    </row>
    <row r="58" spans="1:13" x14ac:dyDescent="0.25">
      <c r="A58" s="1" t="s">
        <v>146</v>
      </c>
      <c r="B58" s="2">
        <v>46039</v>
      </c>
      <c r="C58" s="1" t="s">
        <v>13</v>
      </c>
      <c r="D58" s="1">
        <v>15</v>
      </c>
      <c r="E58" s="7">
        <v>68000</v>
      </c>
      <c r="F58" s="14">
        <f t="shared" si="54"/>
        <v>544000</v>
      </c>
      <c r="G58" s="7">
        <v>952000</v>
      </c>
      <c r="H58" s="10">
        <v>408000</v>
      </c>
      <c r="I58" s="2">
        <f t="shared" si="55"/>
        <v>46144</v>
      </c>
      <c r="J58" s="1">
        <f t="shared" ca="1" si="56"/>
        <v>-5</v>
      </c>
      <c r="K58" s="3" t="str">
        <f t="shared" ca="1" si="57"/>
        <v>VENCIDO</v>
      </c>
      <c r="L58" s="1">
        <f t="shared" si="58"/>
        <v>6</v>
      </c>
      <c r="M58" s="1">
        <f t="shared" si="59"/>
        <v>8</v>
      </c>
    </row>
    <row r="59" spans="1:13" x14ac:dyDescent="0.25">
      <c r="A59" s="1" t="s">
        <v>147</v>
      </c>
      <c r="B59" s="2">
        <v>46006</v>
      </c>
      <c r="C59" s="1"/>
      <c r="D59" s="1">
        <v>7</v>
      </c>
      <c r="E59" s="7">
        <v>30000</v>
      </c>
      <c r="F59" s="14">
        <f t="shared" si="54"/>
        <v>40000</v>
      </c>
      <c r="G59" s="7">
        <v>600000</v>
      </c>
      <c r="H59" s="10">
        <v>560000</v>
      </c>
      <c r="I59" s="2">
        <f t="shared" si="55"/>
        <v>46132</v>
      </c>
      <c r="J59" s="1">
        <f t="shared" ca="1" si="56"/>
        <v>-17</v>
      </c>
      <c r="K59" s="3" t="str">
        <f t="shared" ca="1" si="57"/>
        <v>VENCIDO</v>
      </c>
      <c r="L59" s="1">
        <f t="shared" si="58"/>
        <v>18</v>
      </c>
      <c r="M59" s="1">
        <f t="shared" si="59"/>
        <v>2</v>
      </c>
    </row>
    <row r="60" spans="1:13" x14ac:dyDescent="0.25">
      <c r="A60" s="1" t="s">
        <v>150</v>
      </c>
      <c r="B60" s="2">
        <v>46042</v>
      </c>
      <c r="C60" s="1"/>
      <c r="D60" s="1">
        <v>7</v>
      </c>
      <c r="E60" s="7">
        <v>55000</v>
      </c>
      <c r="F60" s="14">
        <f t="shared" si="54"/>
        <v>710000</v>
      </c>
      <c r="G60" s="7">
        <v>1375000</v>
      </c>
      <c r="H60" s="10">
        <v>665000</v>
      </c>
      <c r="I60" s="2">
        <f t="shared" si="55"/>
        <v>46126</v>
      </c>
      <c r="J60" s="1">
        <f t="shared" ca="1" si="56"/>
        <v>-23</v>
      </c>
      <c r="K60" s="3" t="str">
        <f t="shared" ca="1" si="57"/>
        <v>VENCIDO</v>
      </c>
      <c r="L60" s="1">
        <f t="shared" si="58"/>
        <v>12</v>
      </c>
      <c r="M60" s="1">
        <f t="shared" si="59"/>
        <v>13</v>
      </c>
    </row>
    <row r="61" spans="1:13" x14ac:dyDescent="0.25">
      <c r="A61" s="1" t="s">
        <v>152</v>
      </c>
      <c r="B61" s="2">
        <v>46044</v>
      </c>
      <c r="C61" s="1"/>
      <c r="D61" s="1">
        <v>7</v>
      </c>
      <c r="E61" s="7">
        <v>35000</v>
      </c>
      <c r="F61" s="14">
        <f t="shared" si="54"/>
        <v>175000</v>
      </c>
      <c r="G61" s="7">
        <v>700000</v>
      </c>
      <c r="H61" s="10">
        <v>525000</v>
      </c>
      <c r="I61" s="2">
        <f t="shared" si="55"/>
        <v>46149</v>
      </c>
      <c r="J61" s="1">
        <f t="shared" ca="1" si="56"/>
        <v>0</v>
      </c>
      <c r="K61" s="3" t="str">
        <f t="shared" ca="1" si="57"/>
        <v>PRÓXIMO</v>
      </c>
      <c r="L61" s="1">
        <f t="shared" si="58"/>
        <v>15</v>
      </c>
      <c r="M61" s="1">
        <f t="shared" si="59"/>
        <v>5</v>
      </c>
    </row>
    <row r="62" spans="1:13" x14ac:dyDescent="0.25">
      <c r="A62" s="1" t="s">
        <v>153</v>
      </c>
      <c r="B62" s="2">
        <v>46044</v>
      </c>
      <c r="C62" s="1"/>
      <c r="D62" s="1">
        <v>7</v>
      </c>
      <c r="E62" s="7">
        <v>25000</v>
      </c>
      <c r="F62" s="14">
        <f t="shared" si="54"/>
        <v>25000</v>
      </c>
      <c r="G62" s="7">
        <v>350000</v>
      </c>
      <c r="H62" s="10">
        <v>325000</v>
      </c>
      <c r="I62" s="2">
        <f t="shared" si="55"/>
        <v>46135</v>
      </c>
      <c r="J62" s="1">
        <f t="shared" ca="1" si="56"/>
        <v>-14</v>
      </c>
      <c r="K62" s="3" t="str">
        <f t="shared" ca="1" si="57"/>
        <v>VENCIDO</v>
      </c>
      <c r="L62" s="1">
        <f t="shared" si="58"/>
        <v>13</v>
      </c>
      <c r="M62" s="1">
        <f t="shared" si="59"/>
        <v>1</v>
      </c>
    </row>
    <row r="63" spans="1:13" x14ac:dyDescent="0.25">
      <c r="A63" s="1" t="s">
        <v>155</v>
      </c>
      <c r="B63" s="2">
        <v>46045</v>
      </c>
      <c r="C63" s="1"/>
      <c r="D63" s="1">
        <v>7</v>
      </c>
      <c r="E63" s="7">
        <v>35000</v>
      </c>
      <c r="F63" s="14">
        <f t="shared" si="54"/>
        <v>525000</v>
      </c>
      <c r="G63" s="7">
        <v>1050000</v>
      </c>
      <c r="H63" s="10">
        <v>525000</v>
      </c>
      <c r="I63" s="2">
        <f t="shared" si="55"/>
        <v>46150</v>
      </c>
      <c r="J63" s="1">
        <f t="shared" ca="1" si="56"/>
        <v>1</v>
      </c>
      <c r="K63" s="3" t="str">
        <f t="shared" ca="1" si="57"/>
        <v>PRÓXIMO</v>
      </c>
      <c r="L63" s="1">
        <f t="shared" si="58"/>
        <v>15</v>
      </c>
      <c r="M63" s="1">
        <f t="shared" si="59"/>
        <v>15</v>
      </c>
    </row>
    <row r="64" spans="1:13" x14ac:dyDescent="0.25">
      <c r="A64" s="1" t="s">
        <v>156</v>
      </c>
      <c r="B64" s="2">
        <v>46045</v>
      </c>
      <c r="C64" s="1"/>
      <c r="D64" s="1">
        <v>7</v>
      </c>
      <c r="E64" s="7">
        <v>40000</v>
      </c>
      <c r="F64" s="14">
        <f t="shared" si="54"/>
        <v>800000</v>
      </c>
      <c r="G64" s="7">
        <v>1400000</v>
      </c>
      <c r="H64" s="10">
        <v>600000</v>
      </c>
      <c r="I64" s="2">
        <f t="shared" si="55"/>
        <v>46150</v>
      </c>
      <c r="J64" s="1">
        <f t="shared" ca="1" si="56"/>
        <v>1</v>
      </c>
      <c r="K64" s="3" t="str">
        <f t="shared" ca="1" si="57"/>
        <v>PRÓXIMO</v>
      </c>
      <c r="L64" s="1">
        <f t="shared" si="58"/>
        <v>15</v>
      </c>
      <c r="M64" s="1">
        <f t="shared" si="59"/>
        <v>20</v>
      </c>
    </row>
    <row r="65" spans="1:13" x14ac:dyDescent="0.25">
      <c r="A65" s="1" t="s">
        <v>157</v>
      </c>
      <c r="B65" s="2">
        <v>46074</v>
      </c>
      <c r="C65" s="1"/>
      <c r="D65" s="1">
        <v>7</v>
      </c>
      <c r="E65" s="7">
        <v>38000</v>
      </c>
      <c r="F65" s="14">
        <f t="shared" si="54"/>
        <v>152000</v>
      </c>
      <c r="G65" s="7">
        <v>532000</v>
      </c>
      <c r="H65" s="10">
        <v>380000</v>
      </c>
      <c r="I65" s="2">
        <f t="shared" si="55"/>
        <v>46144</v>
      </c>
      <c r="J65" s="1">
        <f t="shared" ca="1" si="56"/>
        <v>-5</v>
      </c>
      <c r="K65" s="3" t="str">
        <f t="shared" ca="1" si="57"/>
        <v>VENCIDO</v>
      </c>
      <c r="L65" s="1">
        <f t="shared" si="58"/>
        <v>10</v>
      </c>
      <c r="M65" s="1">
        <f t="shared" si="59"/>
        <v>4</v>
      </c>
    </row>
    <row r="66" spans="1:13" x14ac:dyDescent="0.25">
      <c r="A66" s="12" t="s">
        <v>158</v>
      </c>
      <c r="B66" s="2">
        <v>46053</v>
      </c>
      <c r="C66" s="1" t="s">
        <v>13</v>
      </c>
      <c r="D66" s="1">
        <v>7</v>
      </c>
      <c r="E66" s="7">
        <v>25000</v>
      </c>
      <c r="F66" s="14">
        <f t="shared" si="54"/>
        <v>175000</v>
      </c>
      <c r="G66" s="7">
        <v>350000</v>
      </c>
      <c r="H66" s="10">
        <v>175000</v>
      </c>
      <c r="I66" s="2">
        <f t="shared" si="55"/>
        <v>46109</v>
      </c>
      <c r="J66" s="1">
        <f t="shared" ca="1" si="56"/>
        <v>-40</v>
      </c>
      <c r="K66" s="3" t="str">
        <f t="shared" ca="1" si="57"/>
        <v>VENCIDO</v>
      </c>
      <c r="L66" s="1">
        <f t="shared" si="58"/>
        <v>7</v>
      </c>
      <c r="M66" s="1">
        <f t="shared" si="59"/>
        <v>7</v>
      </c>
    </row>
    <row r="67" spans="1:13" x14ac:dyDescent="0.25">
      <c r="A67" s="1" t="s">
        <v>160</v>
      </c>
      <c r="B67" s="2">
        <v>46048</v>
      </c>
      <c r="C67" s="1"/>
      <c r="D67" s="1">
        <v>7</v>
      </c>
      <c r="E67" s="7">
        <v>33500</v>
      </c>
      <c r="F67" s="14">
        <f t="shared" ref="F67:F100" si="60">G67-H67</f>
        <v>334000</v>
      </c>
      <c r="G67" s="7">
        <v>770500</v>
      </c>
      <c r="H67" s="10">
        <v>436500</v>
      </c>
      <c r="I67" s="2">
        <f t="shared" ref="I67:I100" si="61">IF(F67=0,"",IF(C67="CRED",B67+(INT((G67-F67)/E67)+1)*D67,B67+INT((G67-F67)/E67)*D67))</f>
        <v>46139</v>
      </c>
      <c r="J67" s="1">
        <f t="shared" ref="J67:J100" ca="1" si="62">IF(I67="","",I67-TODAY())</f>
        <v>-10</v>
      </c>
      <c r="K67" s="3" t="str">
        <f t="shared" ref="K67:K100" ca="1" si="63">IF(J67="","",IF(J67&lt;0,"VENCIDO",IF(J67&lt;=1,"PRÓXIMO","VIGENTE")))</f>
        <v>VENCIDO</v>
      </c>
      <c r="L67" s="1">
        <f t="shared" ref="L67:L100" si="64">IF(F67=G67,0,INT((G67-F67)/E67))</f>
        <v>13</v>
      </c>
      <c r="M67" s="1">
        <f t="shared" ref="M67:M100" si="65">IF(F67=0,0,INT(F67/E67)+(IF(MOD(F67,E67)&gt;0,1,0)))</f>
        <v>10</v>
      </c>
    </row>
    <row r="68" spans="1:13" x14ac:dyDescent="0.25">
      <c r="A68" s="1" t="s">
        <v>165</v>
      </c>
      <c r="B68" s="2">
        <v>46050</v>
      </c>
      <c r="C68" s="1"/>
      <c r="D68" s="1">
        <v>7</v>
      </c>
      <c r="E68" s="7">
        <v>36000</v>
      </c>
      <c r="F68" s="14">
        <f t="shared" si="60"/>
        <v>468000</v>
      </c>
      <c r="G68" s="7">
        <v>900000</v>
      </c>
      <c r="H68" s="10">
        <v>432000</v>
      </c>
      <c r="I68" s="2">
        <f t="shared" si="61"/>
        <v>46134</v>
      </c>
      <c r="J68" s="1">
        <f t="shared" ca="1" si="62"/>
        <v>-15</v>
      </c>
      <c r="K68" s="3" t="str">
        <f t="shared" ca="1" si="63"/>
        <v>VENCIDO</v>
      </c>
      <c r="L68" s="1">
        <f t="shared" si="64"/>
        <v>12</v>
      </c>
      <c r="M68" s="1">
        <f t="shared" si="65"/>
        <v>13</v>
      </c>
    </row>
    <row r="69" spans="1:13" x14ac:dyDescent="0.25">
      <c r="A69" s="1" t="s">
        <v>166</v>
      </c>
      <c r="B69" s="2">
        <v>46050</v>
      </c>
      <c r="C69" s="1"/>
      <c r="D69" s="1">
        <v>7</v>
      </c>
      <c r="E69" s="7">
        <v>25000</v>
      </c>
      <c r="F69" s="14">
        <f t="shared" si="60"/>
        <v>25000</v>
      </c>
      <c r="G69" s="7">
        <v>375000</v>
      </c>
      <c r="H69" s="10">
        <v>350000</v>
      </c>
      <c r="I69" s="2">
        <f t="shared" si="61"/>
        <v>46148</v>
      </c>
      <c r="J69" s="1">
        <f t="shared" ca="1" si="62"/>
        <v>-1</v>
      </c>
      <c r="K69" s="3" t="str">
        <f t="shared" ca="1" si="63"/>
        <v>VENCIDO</v>
      </c>
      <c r="L69" s="1">
        <f t="shared" si="64"/>
        <v>14</v>
      </c>
      <c r="M69" s="1">
        <f t="shared" si="65"/>
        <v>1</v>
      </c>
    </row>
    <row r="70" spans="1:13" x14ac:dyDescent="0.25">
      <c r="A70" s="1" t="s">
        <v>167</v>
      </c>
      <c r="B70" s="2">
        <v>46051</v>
      </c>
      <c r="C70" s="1"/>
      <c r="D70" s="1">
        <v>7</v>
      </c>
      <c r="E70" s="7">
        <v>29000</v>
      </c>
      <c r="F70" s="14">
        <f t="shared" si="60"/>
        <v>92000</v>
      </c>
      <c r="G70" s="7">
        <v>464000</v>
      </c>
      <c r="H70" s="10">
        <v>372000</v>
      </c>
      <c r="I70" s="2">
        <f t="shared" si="61"/>
        <v>46135</v>
      </c>
      <c r="J70" s="1">
        <f t="shared" ca="1" si="62"/>
        <v>-14</v>
      </c>
      <c r="K70" s="3" t="str">
        <f t="shared" ca="1" si="63"/>
        <v>VENCIDO</v>
      </c>
      <c r="L70" s="1">
        <f t="shared" si="64"/>
        <v>12</v>
      </c>
      <c r="M70" s="1">
        <f t="shared" si="65"/>
        <v>4</v>
      </c>
    </row>
    <row r="71" spans="1:13" x14ac:dyDescent="0.25">
      <c r="A71" s="1" t="s">
        <v>169</v>
      </c>
      <c r="B71" s="2">
        <v>46051</v>
      </c>
      <c r="C71" s="1" t="s">
        <v>13</v>
      </c>
      <c r="D71" s="1">
        <v>15</v>
      </c>
      <c r="E71" s="7">
        <v>250000</v>
      </c>
      <c r="F71" s="14">
        <f t="shared" si="60"/>
        <v>1100000</v>
      </c>
      <c r="G71" s="7">
        <v>2000000</v>
      </c>
      <c r="H71" s="10">
        <v>900000</v>
      </c>
      <c r="I71" s="2">
        <f t="shared" si="61"/>
        <v>46111</v>
      </c>
      <c r="J71" s="1">
        <f t="shared" ca="1" si="62"/>
        <v>-38</v>
      </c>
      <c r="K71" s="3" t="str">
        <f t="shared" ca="1" si="63"/>
        <v>VENCIDO</v>
      </c>
      <c r="L71" s="1">
        <f t="shared" si="64"/>
        <v>3</v>
      </c>
      <c r="M71" s="1">
        <f t="shared" si="65"/>
        <v>5</v>
      </c>
    </row>
    <row r="72" spans="1:13" x14ac:dyDescent="0.25">
      <c r="A72" s="12" t="s">
        <v>176</v>
      </c>
      <c r="B72" s="2">
        <v>46057</v>
      </c>
      <c r="C72" s="1" t="s">
        <v>13</v>
      </c>
      <c r="D72" s="1">
        <v>7</v>
      </c>
      <c r="E72" s="7">
        <v>80000</v>
      </c>
      <c r="F72" s="14">
        <f t="shared" si="60"/>
        <v>400000</v>
      </c>
      <c r="G72" s="7">
        <v>1440000</v>
      </c>
      <c r="H72" s="10">
        <v>1040000</v>
      </c>
      <c r="I72" s="2">
        <f t="shared" si="61"/>
        <v>46155</v>
      </c>
      <c r="J72" s="1">
        <f t="shared" ca="1" si="62"/>
        <v>6</v>
      </c>
      <c r="K72" s="3" t="str">
        <f t="shared" ca="1" si="63"/>
        <v>VIGENTE</v>
      </c>
      <c r="L72" s="1">
        <f t="shared" si="64"/>
        <v>13</v>
      </c>
      <c r="M72" s="1">
        <f t="shared" si="65"/>
        <v>5</v>
      </c>
    </row>
    <row r="73" spans="1:13" x14ac:dyDescent="0.25">
      <c r="A73" s="1" t="s">
        <v>182</v>
      </c>
      <c r="B73" s="2">
        <v>46060</v>
      </c>
      <c r="C73" s="1"/>
      <c r="D73" s="1">
        <v>7</v>
      </c>
      <c r="E73" s="7">
        <v>47000</v>
      </c>
      <c r="F73" s="14">
        <f t="shared" si="60"/>
        <v>843000</v>
      </c>
      <c r="G73" s="7">
        <v>1410000</v>
      </c>
      <c r="H73" s="10">
        <v>567000</v>
      </c>
      <c r="I73" s="2">
        <f t="shared" si="61"/>
        <v>46144</v>
      </c>
      <c r="J73" s="1">
        <f t="shared" ca="1" si="62"/>
        <v>-5</v>
      </c>
      <c r="K73" s="3" t="str">
        <f t="shared" ca="1" si="63"/>
        <v>VENCIDO</v>
      </c>
      <c r="L73" s="1">
        <f t="shared" si="64"/>
        <v>12</v>
      </c>
      <c r="M73" s="1">
        <f t="shared" si="65"/>
        <v>18</v>
      </c>
    </row>
    <row r="74" spans="1:13" x14ac:dyDescent="0.25">
      <c r="A74" s="1" t="s">
        <v>187</v>
      </c>
      <c r="B74" s="2">
        <v>46060</v>
      </c>
      <c r="C74" s="1"/>
      <c r="D74" s="1">
        <v>7</v>
      </c>
      <c r="E74" s="7">
        <v>36000</v>
      </c>
      <c r="F74" s="14">
        <f t="shared" si="60"/>
        <v>648000</v>
      </c>
      <c r="G74" s="7">
        <v>1080000</v>
      </c>
      <c r="H74" s="10">
        <v>432000</v>
      </c>
      <c r="I74" s="2">
        <f t="shared" si="61"/>
        <v>46144</v>
      </c>
      <c r="J74" s="1">
        <f t="shared" ca="1" si="62"/>
        <v>-5</v>
      </c>
      <c r="K74" s="3" t="str">
        <f t="shared" ca="1" si="63"/>
        <v>VENCIDO</v>
      </c>
      <c r="L74" s="1">
        <f t="shared" si="64"/>
        <v>12</v>
      </c>
      <c r="M74" s="1">
        <f t="shared" si="65"/>
        <v>18</v>
      </c>
    </row>
    <row r="75" spans="1:13" x14ac:dyDescent="0.25">
      <c r="A75" s="1" t="s">
        <v>188</v>
      </c>
      <c r="B75" s="2">
        <v>46062</v>
      </c>
      <c r="C75" s="1"/>
      <c r="D75" s="1">
        <v>7</v>
      </c>
      <c r="E75" s="7">
        <v>25000</v>
      </c>
      <c r="F75" s="14">
        <f t="shared" si="60"/>
        <v>50000</v>
      </c>
      <c r="G75" s="7">
        <v>400000</v>
      </c>
      <c r="H75" s="10">
        <v>350000</v>
      </c>
      <c r="I75" s="2">
        <f t="shared" si="61"/>
        <v>46160</v>
      </c>
      <c r="J75" s="1">
        <f t="shared" ca="1" si="62"/>
        <v>11</v>
      </c>
      <c r="K75" s="3" t="str">
        <f t="shared" ca="1" si="63"/>
        <v>VIGENTE</v>
      </c>
      <c r="L75" s="1">
        <f t="shared" si="64"/>
        <v>14</v>
      </c>
      <c r="M75" s="1">
        <f t="shared" si="65"/>
        <v>2</v>
      </c>
    </row>
    <row r="76" spans="1:13" x14ac:dyDescent="0.25">
      <c r="A76" s="1" t="s">
        <v>193</v>
      </c>
      <c r="B76" s="2">
        <v>46063</v>
      </c>
      <c r="C76" s="1"/>
      <c r="D76" s="1">
        <v>7</v>
      </c>
      <c r="E76" s="7">
        <v>35000</v>
      </c>
      <c r="F76" s="14">
        <f t="shared" si="60"/>
        <v>454000</v>
      </c>
      <c r="G76" s="7">
        <v>910000</v>
      </c>
      <c r="H76" s="10">
        <v>456000</v>
      </c>
      <c r="I76" s="2">
        <f t="shared" si="61"/>
        <v>46154</v>
      </c>
      <c r="J76" s="1">
        <f t="shared" ca="1" si="62"/>
        <v>5</v>
      </c>
      <c r="K76" s="3" t="str">
        <f t="shared" ca="1" si="63"/>
        <v>VIGENTE</v>
      </c>
      <c r="L76" s="1">
        <f t="shared" si="64"/>
        <v>13</v>
      </c>
      <c r="M76" s="1">
        <f t="shared" si="65"/>
        <v>13</v>
      </c>
    </row>
    <row r="77" spans="1:13" x14ac:dyDescent="0.25">
      <c r="A77" s="1" t="s">
        <v>194</v>
      </c>
      <c r="B77" s="2">
        <v>46063</v>
      </c>
      <c r="C77" s="1"/>
      <c r="D77" s="1">
        <v>7</v>
      </c>
      <c r="E77" s="7">
        <v>35000</v>
      </c>
      <c r="F77" s="14">
        <f t="shared" si="60"/>
        <v>595000</v>
      </c>
      <c r="G77" s="7">
        <v>1050000</v>
      </c>
      <c r="H77" s="10">
        <v>455000</v>
      </c>
      <c r="I77" s="2">
        <f t="shared" si="61"/>
        <v>46154</v>
      </c>
      <c r="J77" s="1">
        <f t="shared" ca="1" si="62"/>
        <v>5</v>
      </c>
      <c r="K77" s="3" t="str">
        <f t="shared" ca="1" si="63"/>
        <v>VIGENTE</v>
      </c>
      <c r="L77" s="1">
        <f t="shared" si="64"/>
        <v>13</v>
      </c>
      <c r="M77" s="1">
        <f t="shared" si="65"/>
        <v>17</v>
      </c>
    </row>
    <row r="78" spans="1:13" x14ac:dyDescent="0.25">
      <c r="A78" s="1" t="s">
        <v>197</v>
      </c>
      <c r="B78" s="2">
        <v>46064</v>
      </c>
      <c r="C78" s="1"/>
      <c r="D78" s="1">
        <v>7</v>
      </c>
      <c r="E78" s="7">
        <v>28000</v>
      </c>
      <c r="F78" s="14">
        <f t="shared" si="60"/>
        <v>168000</v>
      </c>
      <c r="G78" s="7">
        <v>504000</v>
      </c>
      <c r="H78" s="10">
        <v>336000</v>
      </c>
      <c r="I78" s="2">
        <f t="shared" si="61"/>
        <v>46148</v>
      </c>
      <c r="J78" s="1">
        <f t="shared" ca="1" si="62"/>
        <v>-1</v>
      </c>
      <c r="K78" s="3" t="str">
        <f t="shared" ca="1" si="63"/>
        <v>VENCIDO</v>
      </c>
      <c r="L78" s="1">
        <f t="shared" si="64"/>
        <v>12</v>
      </c>
      <c r="M78" s="1">
        <f t="shared" si="65"/>
        <v>6</v>
      </c>
    </row>
    <row r="79" spans="1:13" x14ac:dyDescent="0.25">
      <c r="A79" s="1" t="s">
        <v>202</v>
      </c>
      <c r="B79" s="2">
        <v>46064</v>
      </c>
      <c r="C79" s="1"/>
      <c r="D79" s="1">
        <v>7</v>
      </c>
      <c r="E79" s="7">
        <v>25000</v>
      </c>
      <c r="F79" s="14">
        <f t="shared" si="60"/>
        <v>170000</v>
      </c>
      <c r="G79" s="7">
        <v>500000</v>
      </c>
      <c r="H79" s="10">
        <v>330000</v>
      </c>
      <c r="I79" s="2">
        <f t="shared" si="61"/>
        <v>46155</v>
      </c>
      <c r="J79" s="1">
        <f t="shared" ca="1" si="62"/>
        <v>6</v>
      </c>
      <c r="K79" s="3" t="str">
        <f t="shared" ca="1" si="63"/>
        <v>VIGENTE</v>
      </c>
      <c r="L79" s="1">
        <f t="shared" si="64"/>
        <v>13</v>
      </c>
      <c r="M79" s="1">
        <f t="shared" si="65"/>
        <v>7</v>
      </c>
    </row>
    <row r="80" spans="1:13" x14ac:dyDescent="0.25">
      <c r="A80" s="1" t="s">
        <v>203</v>
      </c>
      <c r="B80" s="2">
        <v>46065</v>
      </c>
      <c r="C80" s="1"/>
      <c r="D80" s="1">
        <v>7</v>
      </c>
      <c r="E80" s="7">
        <v>37000</v>
      </c>
      <c r="F80" s="14">
        <f t="shared" si="60"/>
        <v>925000</v>
      </c>
      <c r="G80" s="7">
        <v>1110000</v>
      </c>
      <c r="H80" s="10">
        <v>185000</v>
      </c>
      <c r="I80" s="2">
        <f t="shared" si="61"/>
        <v>46100</v>
      </c>
      <c r="J80" s="1">
        <f t="shared" ca="1" si="62"/>
        <v>-49</v>
      </c>
      <c r="K80" s="3" t="str">
        <f t="shared" ca="1" si="63"/>
        <v>VENCIDO</v>
      </c>
      <c r="L80" s="1">
        <f t="shared" si="64"/>
        <v>5</v>
      </c>
      <c r="M80" s="1">
        <f t="shared" si="65"/>
        <v>25</v>
      </c>
    </row>
    <row r="81" spans="1:13" x14ac:dyDescent="0.25">
      <c r="A81" s="1" t="s">
        <v>204</v>
      </c>
      <c r="B81" s="2">
        <v>46066</v>
      </c>
      <c r="C81" s="1" t="s">
        <v>13</v>
      </c>
      <c r="D81" s="1">
        <v>7</v>
      </c>
      <c r="E81" s="7">
        <v>76000</v>
      </c>
      <c r="F81" s="14">
        <f t="shared" si="60"/>
        <v>302000</v>
      </c>
      <c r="G81" s="7">
        <v>760000</v>
      </c>
      <c r="H81" s="10">
        <v>458000</v>
      </c>
      <c r="I81" s="2">
        <f t="shared" si="61"/>
        <v>46115</v>
      </c>
      <c r="J81" s="1">
        <f t="shared" ca="1" si="62"/>
        <v>-34</v>
      </c>
      <c r="K81" s="3" t="str">
        <f t="shared" ca="1" si="63"/>
        <v>VENCIDO</v>
      </c>
      <c r="L81" s="1">
        <f t="shared" si="64"/>
        <v>6</v>
      </c>
      <c r="M81" s="1">
        <f t="shared" si="65"/>
        <v>4</v>
      </c>
    </row>
    <row r="82" spans="1:13" x14ac:dyDescent="0.25">
      <c r="A82" s="1" t="s">
        <v>549</v>
      </c>
      <c r="B82" s="2">
        <v>46066</v>
      </c>
      <c r="C82" s="1"/>
      <c r="D82" s="1">
        <v>7</v>
      </c>
      <c r="E82" s="7">
        <v>25000</v>
      </c>
      <c r="F82" s="14">
        <f t="shared" si="60"/>
        <v>100000</v>
      </c>
      <c r="G82" s="7">
        <v>400000</v>
      </c>
      <c r="H82" s="10">
        <v>300000</v>
      </c>
      <c r="I82" s="2">
        <f t="shared" si="61"/>
        <v>46150</v>
      </c>
      <c r="J82" s="1">
        <f t="shared" ca="1" si="62"/>
        <v>1</v>
      </c>
      <c r="K82" s="3" t="str">
        <f t="shared" ca="1" si="63"/>
        <v>PRÓXIMO</v>
      </c>
      <c r="L82" s="1">
        <f t="shared" si="64"/>
        <v>12</v>
      </c>
      <c r="M82" s="1">
        <f t="shared" si="65"/>
        <v>4</v>
      </c>
    </row>
    <row r="83" spans="1:13" x14ac:dyDescent="0.25">
      <c r="A83" s="1" t="s">
        <v>205</v>
      </c>
      <c r="B83" s="2">
        <v>46066</v>
      </c>
      <c r="C83" s="1"/>
      <c r="D83" s="1">
        <v>7</v>
      </c>
      <c r="E83" s="7">
        <v>25000</v>
      </c>
      <c r="F83" s="14">
        <f t="shared" si="60"/>
        <v>50000</v>
      </c>
      <c r="G83" s="7">
        <v>325000</v>
      </c>
      <c r="H83" s="10">
        <v>275000</v>
      </c>
      <c r="I83" s="2">
        <f t="shared" si="61"/>
        <v>46143</v>
      </c>
      <c r="J83" s="1">
        <f t="shared" ca="1" si="62"/>
        <v>-6</v>
      </c>
      <c r="K83" s="3" t="str">
        <f t="shared" ca="1" si="63"/>
        <v>VENCIDO</v>
      </c>
      <c r="L83" s="1">
        <f t="shared" si="64"/>
        <v>11</v>
      </c>
      <c r="M83" s="1">
        <f t="shared" si="65"/>
        <v>2</v>
      </c>
    </row>
    <row r="84" spans="1:13" x14ac:dyDescent="0.25">
      <c r="A84" s="1" t="s">
        <v>209</v>
      </c>
      <c r="B84" s="2">
        <v>46066</v>
      </c>
      <c r="C84" s="1"/>
      <c r="D84" s="1">
        <v>7</v>
      </c>
      <c r="E84" s="7">
        <v>25000</v>
      </c>
      <c r="F84" s="14">
        <f t="shared" si="60"/>
        <v>225000</v>
      </c>
      <c r="G84" s="7">
        <v>500000</v>
      </c>
      <c r="H84" s="10">
        <v>275000</v>
      </c>
      <c r="I84" s="2">
        <f t="shared" si="61"/>
        <v>46143</v>
      </c>
      <c r="J84" s="1">
        <f t="shared" ca="1" si="62"/>
        <v>-6</v>
      </c>
      <c r="K84" s="3" t="str">
        <f t="shared" ca="1" si="63"/>
        <v>VENCIDO</v>
      </c>
      <c r="L84" s="1">
        <f t="shared" si="64"/>
        <v>11</v>
      </c>
      <c r="M84" s="1">
        <f t="shared" si="65"/>
        <v>9</v>
      </c>
    </row>
    <row r="85" spans="1:13" x14ac:dyDescent="0.25">
      <c r="A85" s="1" t="s">
        <v>92</v>
      </c>
      <c r="B85" s="2">
        <v>46070</v>
      </c>
      <c r="C85" s="1"/>
      <c r="D85" s="1">
        <v>7</v>
      </c>
      <c r="E85" s="7">
        <v>25000</v>
      </c>
      <c r="F85" s="14">
        <f t="shared" si="60"/>
        <v>125000</v>
      </c>
      <c r="G85" s="7">
        <v>400000</v>
      </c>
      <c r="H85" s="10">
        <v>275000</v>
      </c>
      <c r="I85" s="2">
        <f t="shared" si="61"/>
        <v>46147</v>
      </c>
      <c r="J85" s="1">
        <f t="shared" ca="1" si="62"/>
        <v>-2</v>
      </c>
      <c r="K85" s="3" t="str">
        <f t="shared" ca="1" si="63"/>
        <v>VENCIDO</v>
      </c>
      <c r="L85" s="1">
        <f t="shared" si="64"/>
        <v>11</v>
      </c>
      <c r="M85" s="1">
        <f t="shared" si="65"/>
        <v>5</v>
      </c>
    </row>
    <row r="86" spans="1:13" x14ac:dyDescent="0.25">
      <c r="A86" s="1" t="s">
        <v>216</v>
      </c>
      <c r="B86" s="2">
        <v>46070</v>
      </c>
      <c r="C86" s="1"/>
      <c r="D86" s="1">
        <v>7</v>
      </c>
      <c r="E86" s="7">
        <v>38000</v>
      </c>
      <c r="F86" s="14">
        <f t="shared" si="60"/>
        <v>798000</v>
      </c>
      <c r="G86" s="7">
        <v>1216000</v>
      </c>
      <c r="H86" s="10">
        <v>418000</v>
      </c>
      <c r="I86" s="2">
        <f t="shared" si="61"/>
        <v>46147</v>
      </c>
      <c r="J86" s="1">
        <f t="shared" ca="1" si="62"/>
        <v>-2</v>
      </c>
      <c r="K86" s="3" t="str">
        <f t="shared" ca="1" si="63"/>
        <v>VENCIDO</v>
      </c>
      <c r="L86" s="1">
        <f t="shared" si="64"/>
        <v>11</v>
      </c>
      <c r="M86" s="1">
        <f t="shared" si="65"/>
        <v>21</v>
      </c>
    </row>
    <row r="87" spans="1:13" x14ac:dyDescent="0.25">
      <c r="A87" s="1" t="s">
        <v>71</v>
      </c>
      <c r="B87" s="2">
        <v>46070</v>
      </c>
      <c r="C87" s="1" t="s">
        <v>13</v>
      </c>
      <c r="D87" s="1">
        <v>7</v>
      </c>
      <c r="E87" s="7">
        <v>300000</v>
      </c>
      <c r="F87" s="14">
        <f t="shared" si="60"/>
        <v>2100000</v>
      </c>
      <c r="G87" s="7">
        <v>4200000</v>
      </c>
      <c r="H87" s="10">
        <v>2100000</v>
      </c>
      <c r="I87" s="2">
        <f t="shared" si="61"/>
        <v>46126</v>
      </c>
      <c r="J87" s="1">
        <f t="shared" ca="1" si="62"/>
        <v>-23</v>
      </c>
      <c r="K87" s="3" t="str">
        <f t="shared" ca="1" si="63"/>
        <v>VENCIDO</v>
      </c>
      <c r="L87" s="1">
        <f t="shared" si="64"/>
        <v>7</v>
      </c>
      <c r="M87" s="1">
        <f t="shared" si="65"/>
        <v>7</v>
      </c>
    </row>
    <row r="88" spans="1:13" x14ac:dyDescent="0.25">
      <c r="A88" s="1" t="s">
        <v>218</v>
      </c>
      <c r="B88" s="2">
        <v>46071</v>
      </c>
      <c r="C88" s="1"/>
      <c r="D88" s="1">
        <v>15</v>
      </c>
      <c r="E88" s="7">
        <v>78000</v>
      </c>
      <c r="F88" s="14">
        <f t="shared" si="60"/>
        <v>1014000</v>
      </c>
      <c r="G88" s="7">
        <v>1404000</v>
      </c>
      <c r="H88" s="10">
        <v>390000</v>
      </c>
      <c r="I88" s="2">
        <f t="shared" si="61"/>
        <v>46146</v>
      </c>
      <c r="J88" s="1">
        <f t="shared" ca="1" si="62"/>
        <v>-3</v>
      </c>
      <c r="K88" s="3" t="str">
        <f t="shared" ca="1" si="63"/>
        <v>VENCIDO</v>
      </c>
      <c r="L88" s="1">
        <f t="shared" si="64"/>
        <v>5</v>
      </c>
      <c r="M88" s="1">
        <f t="shared" si="65"/>
        <v>13</v>
      </c>
    </row>
    <row r="89" spans="1:13" x14ac:dyDescent="0.25">
      <c r="A89" s="1" t="s">
        <v>220</v>
      </c>
      <c r="B89" s="2">
        <v>46072</v>
      </c>
      <c r="C89" s="1"/>
      <c r="D89" s="1">
        <v>7</v>
      </c>
      <c r="E89" s="7">
        <v>38000</v>
      </c>
      <c r="F89" s="14">
        <f t="shared" si="60"/>
        <v>684000</v>
      </c>
      <c r="G89" s="7">
        <v>1102000</v>
      </c>
      <c r="H89" s="10">
        <v>418000</v>
      </c>
      <c r="I89" s="2">
        <f t="shared" si="61"/>
        <v>46149</v>
      </c>
      <c r="J89" s="1">
        <f t="shared" ca="1" si="62"/>
        <v>0</v>
      </c>
      <c r="K89" s="3" t="str">
        <f t="shared" ca="1" si="63"/>
        <v>PRÓXIMO</v>
      </c>
      <c r="L89" s="1">
        <f t="shared" si="64"/>
        <v>11</v>
      </c>
      <c r="M89" s="1">
        <f t="shared" si="65"/>
        <v>18</v>
      </c>
    </row>
    <row r="90" spans="1:13" x14ac:dyDescent="0.25">
      <c r="A90" s="1" t="s">
        <v>219</v>
      </c>
      <c r="B90" s="2">
        <v>46071</v>
      </c>
      <c r="C90" s="1"/>
      <c r="D90" s="1">
        <v>7</v>
      </c>
      <c r="E90" s="7">
        <v>35000</v>
      </c>
      <c r="F90" s="14">
        <f t="shared" si="60"/>
        <v>525000</v>
      </c>
      <c r="G90" s="7">
        <v>700000</v>
      </c>
      <c r="H90" s="10">
        <v>175000</v>
      </c>
      <c r="I90" s="2">
        <f t="shared" si="61"/>
        <v>46106</v>
      </c>
      <c r="J90" s="1">
        <f t="shared" ca="1" si="62"/>
        <v>-43</v>
      </c>
      <c r="K90" s="3" t="str">
        <f t="shared" ca="1" si="63"/>
        <v>VENCIDO</v>
      </c>
      <c r="L90" s="1">
        <f t="shared" si="64"/>
        <v>5</v>
      </c>
      <c r="M90" s="1">
        <f t="shared" si="65"/>
        <v>15</v>
      </c>
    </row>
    <row r="91" spans="1:13" x14ac:dyDescent="0.25">
      <c r="A91" s="1" t="s">
        <v>222</v>
      </c>
      <c r="B91" s="2">
        <v>46072</v>
      </c>
      <c r="C91" s="1"/>
      <c r="D91" s="1">
        <v>7</v>
      </c>
      <c r="E91" s="7">
        <v>30000</v>
      </c>
      <c r="F91" s="14">
        <f t="shared" si="60"/>
        <v>430000</v>
      </c>
      <c r="G91" s="7">
        <v>600000</v>
      </c>
      <c r="H91" s="10">
        <v>170000</v>
      </c>
      <c r="I91" s="2">
        <f t="shared" si="61"/>
        <v>46107</v>
      </c>
      <c r="J91" s="1">
        <f t="shared" ca="1" si="62"/>
        <v>-42</v>
      </c>
      <c r="K91" s="3" t="str">
        <f t="shared" ca="1" si="63"/>
        <v>VENCIDO</v>
      </c>
      <c r="L91" s="1">
        <f t="shared" si="64"/>
        <v>5</v>
      </c>
      <c r="M91" s="1">
        <f t="shared" si="65"/>
        <v>15</v>
      </c>
    </row>
    <row r="92" spans="1:13" x14ac:dyDescent="0.25">
      <c r="A92" s="1" t="s">
        <v>223</v>
      </c>
      <c r="B92" s="2">
        <v>46072</v>
      </c>
      <c r="C92" s="1"/>
      <c r="D92" s="1">
        <v>30</v>
      </c>
      <c r="E92" s="7">
        <v>50000</v>
      </c>
      <c r="F92" s="14">
        <f t="shared" si="60"/>
        <v>100000</v>
      </c>
      <c r="G92" s="7">
        <v>250000</v>
      </c>
      <c r="H92" s="10">
        <v>150000</v>
      </c>
      <c r="I92" s="2">
        <f t="shared" si="61"/>
        <v>46162</v>
      </c>
      <c r="J92" s="1">
        <f t="shared" ca="1" si="62"/>
        <v>13</v>
      </c>
      <c r="K92" s="3" t="str">
        <f t="shared" ca="1" si="63"/>
        <v>VIGENTE</v>
      </c>
      <c r="L92" s="1">
        <f t="shared" si="64"/>
        <v>3</v>
      </c>
      <c r="M92" s="1">
        <f t="shared" si="65"/>
        <v>2</v>
      </c>
    </row>
    <row r="93" spans="1:13" x14ac:dyDescent="0.25">
      <c r="A93" s="1" t="s">
        <v>228</v>
      </c>
      <c r="B93" s="2">
        <v>46074</v>
      </c>
      <c r="C93" s="1" t="s">
        <v>13</v>
      </c>
      <c r="D93" s="1">
        <v>7</v>
      </c>
      <c r="E93" s="7">
        <v>20000</v>
      </c>
      <c r="F93" s="14">
        <f t="shared" si="60"/>
        <v>140000</v>
      </c>
      <c r="G93" s="7">
        <v>320000</v>
      </c>
      <c r="H93" s="10">
        <v>180000</v>
      </c>
      <c r="I93" s="2">
        <f t="shared" si="61"/>
        <v>46144</v>
      </c>
      <c r="J93" s="1">
        <f t="shared" ca="1" si="62"/>
        <v>-5</v>
      </c>
      <c r="K93" s="3" t="str">
        <f t="shared" ca="1" si="63"/>
        <v>VENCIDO</v>
      </c>
      <c r="L93" s="1">
        <f t="shared" si="64"/>
        <v>9</v>
      </c>
      <c r="M93" s="1">
        <f t="shared" si="65"/>
        <v>7</v>
      </c>
    </row>
    <row r="94" spans="1:13" x14ac:dyDescent="0.25">
      <c r="A94" s="1" t="s">
        <v>229</v>
      </c>
      <c r="B94" s="2">
        <v>46074</v>
      </c>
      <c r="C94" s="1" t="s">
        <v>13</v>
      </c>
      <c r="D94" s="1">
        <v>7</v>
      </c>
      <c r="E94" s="7">
        <v>18000</v>
      </c>
      <c r="F94" s="14">
        <f t="shared" si="60"/>
        <v>126000</v>
      </c>
      <c r="G94" s="7">
        <v>288000</v>
      </c>
      <c r="H94" s="10">
        <v>162000</v>
      </c>
      <c r="I94" s="2">
        <f t="shared" si="61"/>
        <v>46144</v>
      </c>
      <c r="J94" s="1">
        <f t="shared" ca="1" si="62"/>
        <v>-5</v>
      </c>
      <c r="K94" s="3" t="str">
        <f t="shared" ca="1" si="63"/>
        <v>VENCIDO</v>
      </c>
      <c r="L94" s="1">
        <f t="shared" si="64"/>
        <v>9</v>
      </c>
      <c r="M94" s="1">
        <f t="shared" si="65"/>
        <v>7</v>
      </c>
    </row>
    <row r="95" spans="1:13" x14ac:dyDescent="0.25">
      <c r="A95" s="1" t="s">
        <v>230</v>
      </c>
      <c r="B95" s="2">
        <v>46074</v>
      </c>
      <c r="C95" s="1"/>
      <c r="D95" s="1">
        <v>7</v>
      </c>
      <c r="E95" s="7">
        <v>65000</v>
      </c>
      <c r="F95" s="14">
        <f t="shared" si="60"/>
        <v>345000</v>
      </c>
      <c r="G95" s="7">
        <v>650000</v>
      </c>
      <c r="H95" s="10">
        <v>305000</v>
      </c>
      <c r="I95" s="2">
        <f t="shared" si="61"/>
        <v>46102</v>
      </c>
      <c r="J95" s="1">
        <f t="shared" ca="1" si="62"/>
        <v>-47</v>
      </c>
      <c r="K95" s="3" t="str">
        <f t="shared" ca="1" si="63"/>
        <v>VENCIDO</v>
      </c>
      <c r="L95" s="1">
        <f t="shared" si="64"/>
        <v>4</v>
      </c>
      <c r="M95" s="1">
        <f t="shared" si="65"/>
        <v>6</v>
      </c>
    </row>
    <row r="96" spans="1:13" x14ac:dyDescent="0.25">
      <c r="A96" s="1" t="s">
        <v>239</v>
      </c>
      <c r="B96" s="2">
        <v>46076</v>
      </c>
      <c r="C96" s="1"/>
      <c r="D96" s="1">
        <v>7</v>
      </c>
      <c r="E96" s="7">
        <v>20000</v>
      </c>
      <c r="F96" s="14">
        <f t="shared" si="60"/>
        <v>200000</v>
      </c>
      <c r="G96" s="7">
        <v>320000</v>
      </c>
      <c r="H96" s="10">
        <v>120000</v>
      </c>
      <c r="I96" s="2">
        <f t="shared" si="61"/>
        <v>46118</v>
      </c>
      <c r="J96" s="1">
        <f t="shared" ca="1" si="62"/>
        <v>-31</v>
      </c>
      <c r="K96" s="3" t="str">
        <f t="shared" ca="1" si="63"/>
        <v>VENCIDO</v>
      </c>
      <c r="L96" s="1">
        <f t="shared" si="64"/>
        <v>6</v>
      </c>
      <c r="M96" s="1">
        <f t="shared" si="65"/>
        <v>10</v>
      </c>
    </row>
    <row r="97" spans="1:13" x14ac:dyDescent="0.25">
      <c r="A97" s="1" t="s">
        <v>235</v>
      </c>
      <c r="B97" s="2">
        <v>46070</v>
      </c>
      <c r="C97" s="1" t="s">
        <v>13</v>
      </c>
      <c r="D97" s="1">
        <v>7</v>
      </c>
      <c r="E97" s="7">
        <v>35000</v>
      </c>
      <c r="F97" s="14">
        <f t="shared" si="60"/>
        <v>245000</v>
      </c>
      <c r="G97" s="7">
        <v>630000</v>
      </c>
      <c r="H97" s="10">
        <v>385000</v>
      </c>
      <c r="I97" s="2">
        <f t="shared" si="61"/>
        <v>46154</v>
      </c>
      <c r="J97" s="1">
        <f t="shared" ca="1" si="62"/>
        <v>5</v>
      </c>
      <c r="K97" s="3" t="str">
        <f t="shared" ca="1" si="63"/>
        <v>VIGENTE</v>
      </c>
      <c r="L97" s="1">
        <f t="shared" si="64"/>
        <v>11</v>
      </c>
      <c r="M97" s="1">
        <f t="shared" si="65"/>
        <v>7</v>
      </c>
    </row>
    <row r="98" spans="1:13" x14ac:dyDescent="0.25">
      <c r="A98" s="1" t="s">
        <v>237</v>
      </c>
      <c r="B98" s="2">
        <v>46076</v>
      </c>
      <c r="C98" s="1"/>
      <c r="D98" s="1">
        <v>7</v>
      </c>
      <c r="E98" s="7">
        <v>78000</v>
      </c>
      <c r="F98" s="14">
        <f t="shared" si="60"/>
        <v>129000</v>
      </c>
      <c r="G98" s="7">
        <v>936000</v>
      </c>
      <c r="H98" s="10">
        <v>807000</v>
      </c>
      <c r="I98" s="2">
        <f t="shared" si="61"/>
        <v>46146</v>
      </c>
      <c r="J98" s="1">
        <f t="shared" ca="1" si="62"/>
        <v>-3</v>
      </c>
      <c r="K98" s="3" t="str">
        <f t="shared" ca="1" si="63"/>
        <v>VENCIDO</v>
      </c>
      <c r="L98" s="1">
        <f t="shared" si="64"/>
        <v>10</v>
      </c>
      <c r="M98" s="1">
        <f t="shared" si="65"/>
        <v>2</v>
      </c>
    </row>
    <row r="99" spans="1:13" x14ac:dyDescent="0.25">
      <c r="A99" s="1" t="s">
        <v>238</v>
      </c>
      <c r="B99" s="2">
        <v>46076</v>
      </c>
      <c r="C99" s="1"/>
      <c r="D99" s="1">
        <v>7</v>
      </c>
      <c r="E99" s="7">
        <v>28000</v>
      </c>
      <c r="F99" s="14">
        <f t="shared" si="60"/>
        <v>168000</v>
      </c>
      <c r="G99" s="7">
        <v>448000</v>
      </c>
      <c r="H99" s="10">
        <v>280000</v>
      </c>
      <c r="I99" s="2">
        <f t="shared" si="61"/>
        <v>46146</v>
      </c>
      <c r="J99" s="1">
        <f t="shared" ca="1" si="62"/>
        <v>-3</v>
      </c>
      <c r="K99" s="3" t="str">
        <f t="shared" ca="1" si="63"/>
        <v>VENCIDO</v>
      </c>
      <c r="L99" s="1">
        <f t="shared" si="64"/>
        <v>10</v>
      </c>
      <c r="M99" s="1">
        <f t="shared" si="65"/>
        <v>6</v>
      </c>
    </row>
    <row r="100" spans="1:13" x14ac:dyDescent="0.25">
      <c r="A100" s="1" t="s">
        <v>457</v>
      </c>
      <c r="B100" s="2">
        <v>46077</v>
      </c>
      <c r="C100" s="1"/>
      <c r="D100" s="1">
        <v>7</v>
      </c>
      <c r="E100" s="7">
        <v>35000</v>
      </c>
      <c r="F100" s="14">
        <f t="shared" si="60"/>
        <v>525000</v>
      </c>
      <c r="G100" s="7">
        <v>875000</v>
      </c>
      <c r="H100" s="10">
        <v>350000</v>
      </c>
      <c r="I100" s="2">
        <f t="shared" si="61"/>
        <v>46147</v>
      </c>
      <c r="J100" s="1">
        <f t="shared" ca="1" si="62"/>
        <v>-2</v>
      </c>
      <c r="K100" s="3" t="str">
        <f t="shared" ca="1" si="63"/>
        <v>VENCIDO</v>
      </c>
      <c r="L100" s="1">
        <f t="shared" si="64"/>
        <v>10</v>
      </c>
      <c r="M100" s="1">
        <f t="shared" si="65"/>
        <v>15</v>
      </c>
    </row>
    <row r="101" spans="1:13" x14ac:dyDescent="0.25">
      <c r="A101" s="1" t="s">
        <v>240</v>
      </c>
      <c r="B101" s="2">
        <v>46071</v>
      </c>
      <c r="C101" s="1" t="s">
        <v>13</v>
      </c>
      <c r="D101" s="1">
        <v>7</v>
      </c>
      <c r="E101" s="7">
        <v>150000</v>
      </c>
      <c r="F101" s="14">
        <f t="shared" ref="F101:F119" si="66">G101-H101</f>
        <v>4650000</v>
      </c>
      <c r="G101" s="7">
        <v>6000000</v>
      </c>
      <c r="H101" s="10">
        <v>1350000</v>
      </c>
      <c r="I101" s="2">
        <f t="shared" ref="I101:I119" si="67">IF(F101=0,"",IF(C101="CRED",B101+(INT((G101-F101)/E101)+1)*D101,B101+INT((G101-F101)/E101)*D101))</f>
        <v>46141</v>
      </c>
      <c r="J101" s="1">
        <f t="shared" ref="J101:J119" ca="1" si="68">IF(I101="","",I101-TODAY())</f>
        <v>-8</v>
      </c>
      <c r="K101" s="3" t="str">
        <f t="shared" ref="K101:K119" ca="1" si="69">IF(J101="","",IF(J101&lt;0,"VENCIDO",IF(J101&lt;=1,"PRÓXIMO","VIGENTE")))</f>
        <v>VENCIDO</v>
      </c>
      <c r="L101" s="1">
        <f t="shared" ref="L101:L119" si="70">IF(F101=G101,0,INT((G101-F101)/E101))</f>
        <v>9</v>
      </c>
      <c r="M101" s="1">
        <f t="shared" ref="M101:M119" si="71">IF(F101=0,0,INT(F101/E101)+(IF(MOD(F101,E101)&gt;0,1,0)))</f>
        <v>31</v>
      </c>
    </row>
    <row r="102" spans="1:13" x14ac:dyDescent="0.25">
      <c r="A102" s="1" t="s">
        <v>241</v>
      </c>
      <c r="B102" s="2">
        <v>46078</v>
      </c>
      <c r="C102" s="1" t="s">
        <v>13</v>
      </c>
      <c r="D102" s="1">
        <v>7</v>
      </c>
      <c r="E102" s="7">
        <v>57000</v>
      </c>
      <c r="F102" s="14">
        <f t="shared" si="66"/>
        <v>171000</v>
      </c>
      <c r="G102" s="7">
        <v>570000</v>
      </c>
      <c r="H102" s="10">
        <v>399000</v>
      </c>
      <c r="I102" s="2">
        <f t="shared" si="67"/>
        <v>46134</v>
      </c>
      <c r="J102" s="1">
        <f t="shared" ca="1" si="68"/>
        <v>-15</v>
      </c>
      <c r="K102" s="3" t="str">
        <f t="shared" ca="1" si="69"/>
        <v>VENCIDO</v>
      </c>
      <c r="L102" s="1">
        <f t="shared" si="70"/>
        <v>7</v>
      </c>
      <c r="M102" s="1">
        <f t="shared" si="71"/>
        <v>3</v>
      </c>
    </row>
    <row r="103" spans="1:13" x14ac:dyDescent="0.25">
      <c r="A103" s="1" t="s">
        <v>242</v>
      </c>
      <c r="B103" s="2">
        <v>46071</v>
      </c>
      <c r="C103" s="1" t="s">
        <v>13</v>
      </c>
      <c r="D103" s="1">
        <v>7</v>
      </c>
      <c r="E103" s="7">
        <v>38000</v>
      </c>
      <c r="F103" s="14">
        <f t="shared" si="66"/>
        <v>76000</v>
      </c>
      <c r="G103" s="7">
        <v>380000</v>
      </c>
      <c r="H103" s="10">
        <v>304000</v>
      </c>
      <c r="I103" s="2">
        <f t="shared" si="67"/>
        <v>46134</v>
      </c>
      <c r="J103" s="1">
        <f t="shared" ca="1" si="68"/>
        <v>-15</v>
      </c>
      <c r="K103" s="3" t="str">
        <f t="shared" ca="1" si="69"/>
        <v>VENCIDO</v>
      </c>
      <c r="L103" s="1">
        <f t="shared" si="70"/>
        <v>8</v>
      </c>
      <c r="M103" s="1">
        <f t="shared" si="71"/>
        <v>2</v>
      </c>
    </row>
    <row r="104" spans="1:13" x14ac:dyDescent="0.25">
      <c r="A104" s="1" t="s">
        <v>244</v>
      </c>
      <c r="B104" s="2">
        <v>46079</v>
      </c>
      <c r="C104" s="1"/>
      <c r="D104" s="1">
        <v>7</v>
      </c>
      <c r="E104" s="7">
        <v>44000</v>
      </c>
      <c r="F104" s="14">
        <f t="shared" si="66"/>
        <v>484000</v>
      </c>
      <c r="G104" s="7">
        <v>880000</v>
      </c>
      <c r="H104" s="10">
        <v>396000</v>
      </c>
      <c r="I104" s="2">
        <f t="shared" si="67"/>
        <v>46142</v>
      </c>
      <c r="J104" s="1">
        <f t="shared" ca="1" si="68"/>
        <v>-7</v>
      </c>
      <c r="K104" s="3" t="str">
        <f t="shared" ca="1" si="69"/>
        <v>VENCIDO</v>
      </c>
      <c r="L104" s="1">
        <f t="shared" si="70"/>
        <v>9</v>
      </c>
      <c r="M104" s="1">
        <f t="shared" si="71"/>
        <v>11</v>
      </c>
    </row>
    <row r="105" spans="1:13" x14ac:dyDescent="0.25">
      <c r="A105" s="1" t="s">
        <v>248</v>
      </c>
      <c r="B105" s="2">
        <v>46080</v>
      </c>
      <c r="C105" s="1" t="s">
        <v>13</v>
      </c>
      <c r="D105" s="1">
        <v>7</v>
      </c>
      <c r="E105" s="7">
        <v>29000</v>
      </c>
      <c r="F105" s="14">
        <f t="shared" si="66"/>
        <v>60000</v>
      </c>
      <c r="G105" s="7">
        <v>290000</v>
      </c>
      <c r="H105" s="10">
        <v>230000</v>
      </c>
      <c r="I105" s="2">
        <f t="shared" si="67"/>
        <v>46136</v>
      </c>
      <c r="J105" s="1">
        <f t="shared" ca="1" si="68"/>
        <v>-13</v>
      </c>
      <c r="K105" s="3" t="str">
        <f t="shared" ca="1" si="69"/>
        <v>VENCIDO</v>
      </c>
      <c r="L105" s="1">
        <f t="shared" si="70"/>
        <v>7</v>
      </c>
      <c r="M105" s="1">
        <f t="shared" si="71"/>
        <v>3</v>
      </c>
    </row>
    <row r="106" spans="1:13" x14ac:dyDescent="0.25">
      <c r="A106" s="1" t="s">
        <v>250</v>
      </c>
      <c r="B106" s="2">
        <v>46080</v>
      </c>
      <c r="C106" s="1"/>
      <c r="D106" s="1">
        <v>7</v>
      </c>
      <c r="E106" s="7">
        <v>30000</v>
      </c>
      <c r="F106" s="14">
        <f t="shared" si="66"/>
        <v>240000</v>
      </c>
      <c r="G106" s="7">
        <v>510000</v>
      </c>
      <c r="H106" s="10">
        <v>270000</v>
      </c>
      <c r="I106" s="2">
        <f t="shared" si="67"/>
        <v>46143</v>
      </c>
      <c r="J106" s="1">
        <f t="shared" ca="1" si="68"/>
        <v>-6</v>
      </c>
      <c r="K106" s="3" t="str">
        <f t="shared" ca="1" si="69"/>
        <v>VENCIDO</v>
      </c>
      <c r="L106" s="1">
        <f t="shared" si="70"/>
        <v>9</v>
      </c>
      <c r="M106" s="1">
        <f t="shared" si="71"/>
        <v>8</v>
      </c>
    </row>
    <row r="107" spans="1:13" x14ac:dyDescent="0.25">
      <c r="A107" s="1" t="s">
        <v>253</v>
      </c>
      <c r="B107" s="2">
        <v>46081</v>
      </c>
      <c r="C107" s="1"/>
      <c r="D107" s="1">
        <v>7</v>
      </c>
      <c r="E107" s="7">
        <v>30000</v>
      </c>
      <c r="F107" s="14">
        <f t="shared" si="66"/>
        <v>180000</v>
      </c>
      <c r="G107" s="7">
        <v>480000</v>
      </c>
      <c r="H107" s="10">
        <v>300000</v>
      </c>
      <c r="I107" s="2">
        <f t="shared" si="67"/>
        <v>46151</v>
      </c>
      <c r="J107" s="1">
        <f t="shared" ca="1" si="68"/>
        <v>2</v>
      </c>
      <c r="K107" s="3" t="str">
        <f t="shared" ca="1" si="69"/>
        <v>VIGENTE</v>
      </c>
      <c r="L107" s="1">
        <f t="shared" si="70"/>
        <v>10</v>
      </c>
      <c r="M107" s="1">
        <f t="shared" si="71"/>
        <v>6</v>
      </c>
    </row>
    <row r="108" spans="1:13" x14ac:dyDescent="0.25">
      <c r="A108" s="1" t="s">
        <v>254</v>
      </c>
      <c r="B108" s="2">
        <v>46081</v>
      </c>
      <c r="C108" s="1"/>
      <c r="D108" s="1">
        <v>7</v>
      </c>
      <c r="E108" s="7">
        <v>40000</v>
      </c>
      <c r="F108" s="14">
        <f t="shared" si="66"/>
        <v>240000</v>
      </c>
      <c r="G108" s="7">
        <v>640000</v>
      </c>
      <c r="H108" s="10">
        <v>400000</v>
      </c>
      <c r="I108" s="2">
        <f t="shared" si="67"/>
        <v>46151</v>
      </c>
      <c r="J108" s="1">
        <f t="shared" ca="1" si="68"/>
        <v>2</v>
      </c>
      <c r="K108" s="3" t="str">
        <f t="shared" ca="1" si="69"/>
        <v>VIGENTE</v>
      </c>
      <c r="L108" s="1">
        <f t="shared" si="70"/>
        <v>10</v>
      </c>
      <c r="M108" s="1">
        <f t="shared" si="71"/>
        <v>6</v>
      </c>
    </row>
    <row r="109" spans="1:13" x14ac:dyDescent="0.25">
      <c r="A109" s="1" t="s">
        <v>284</v>
      </c>
      <c r="B109" s="2">
        <v>46083</v>
      </c>
      <c r="C109" s="1" t="s">
        <v>13</v>
      </c>
      <c r="D109" s="1">
        <v>7</v>
      </c>
      <c r="E109" s="7">
        <v>22000</v>
      </c>
      <c r="F109" s="14">
        <f t="shared" si="66"/>
        <v>172000</v>
      </c>
      <c r="G109" s="7">
        <v>352000</v>
      </c>
      <c r="H109" s="10">
        <v>180000</v>
      </c>
      <c r="I109" s="2">
        <f t="shared" si="67"/>
        <v>46146</v>
      </c>
      <c r="J109" s="1">
        <f t="shared" ca="1" si="68"/>
        <v>-3</v>
      </c>
      <c r="K109" s="3" t="str">
        <f t="shared" ca="1" si="69"/>
        <v>VENCIDO</v>
      </c>
      <c r="L109" s="1">
        <f t="shared" si="70"/>
        <v>8</v>
      </c>
      <c r="M109" s="1">
        <f t="shared" si="71"/>
        <v>8</v>
      </c>
    </row>
    <row r="110" spans="1:13" x14ac:dyDescent="0.25">
      <c r="A110" s="1" t="s">
        <v>255</v>
      </c>
      <c r="B110" s="2">
        <v>46083</v>
      </c>
      <c r="C110" s="1"/>
      <c r="D110" s="1">
        <v>7</v>
      </c>
      <c r="E110" s="7">
        <v>50000</v>
      </c>
      <c r="F110" s="14">
        <f t="shared" si="66"/>
        <v>600000</v>
      </c>
      <c r="G110" s="7">
        <v>1100000</v>
      </c>
      <c r="H110" s="10">
        <v>500000</v>
      </c>
      <c r="I110" s="2">
        <f t="shared" si="67"/>
        <v>46153</v>
      </c>
      <c r="J110" s="1">
        <f t="shared" ca="1" si="68"/>
        <v>4</v>
      </c>
      <c r="K110" s="3" t="str">
        <f t="shared" ca="1" si="69"/>
        <v>VIGENTE</v>
      </c>
      <c r="L110" s="1">
        <f t="shared" si="70"/>
        <v>10</v>
      </c>
      <c r="M110" s="1">
        <f t="shared" si="71"/>
        <v>12</v>
      </c>
    </row>
    <row r="111" spans="1:13" x14ac:dyDescent="0.25">
      <c r="A111" s="1" t="s">
        <v>264</v>
      </c>
      <c r="B111" s="2">
        <v>46084</v>
      </c>
      <c r="C111" s="1"/>
      <c r="D111" s="1">
        <v>7</v>
      </c>
      <c r="E111" s="7">
        <v>20000</v>
      </c>
      <c r="F111" s="14">
        <f t="shared" si="66"/>
        <v>140000</v>
      </c>
      <c r="G111" s="7">
        <v>320000</v>
      </c>
      <c r="H111" s="10">
        <v>180000</v>
      </c>
      <c r="I111" s="2">
        <f t="shared" si="67"/>
        <v>46147</v>
      </c>
      <c r="J111" s="1">
        <f t="shared" ca="1" si="68"/>
        <v>-2</v>
      </c>
      <c r="K111" s="3" t="str">
        <f t="shared" ca="1" si="69"/>
        <v>VENCIDO</v>
      </c>
      <c r="L111" s="1">
        <f t="shared" si="70"/>
        <v>9</v>
      </c>
      <c r="M111" s="1">
        <f t="shared" si="71"/>
        <v>7</v>
      </c>
    </row>
    <row r="112" spans="1:13" x14ac:dyDescent="0.25">
      <c r="A112" s="1" t="s">
        <v>265</v>
      </c>
      <c r="B112" s="2">
        <v>46084</v>
      </c>
      <c r="C112" s="1"/>
      <c r="D112" s="1">
        <v>7</v>
      </c>
      <c r="E112" s="7">
        <v>36000</v>
      </c>
      <c r="F112" s="14">
        <f t="shared" si="66"/>
        <v>281000</v>
      </c>
      <c r="G112" s="7">
        <v>432000</v>
      </c>
      <c r="H112" s="10">
        <v>151000</v>
      </c>
      <c r="I112" s="2">
        <f t="shared" si="67"/>
        <v>46112</v>
      </c>
      <c r="J112" s="1">
        <f t="shared" ca="1" si="68"/>
        <v>-37</v>
      </c>
      <c r="K112" s="3" t="str">
        <f t="shared" ca="1" si="69"/>
        <v>VENCIDO</v>
      </c>
      <c r="L112" s="1">
        <f t="shared" si="70"/>
        <v>4</v>
      </c>
      <c r="M112" s="1">
        <f t="shared" si="71"/>
        <v>8</v>
      </c>
    </row>
    <row r="113" spans="1:13" x14ac:dyDescent="0.25">
      <c r="A113" s="1" t="s">
        <v>268</v>
      </c>
      <c r="B113" s="2">
        <v>46084</v>
      </c>
      <c r="C113" s="1"/>
      <c r="D113" s="1">
        <v>7</v>
      </c>
      <c r="E113" s="7">
        <v>28000</v>
      </c>
      <c r="F113" s="14">
        <f t="shared" si="66"/>
        <v>364000</v>
      </c>
      <c r="G113" s="7">
        <v>448000</v>
      </c>
      <c r="H113" s="10">
        <v>84000</v>
      </c>
      <c r="I113" s="2">
        <f t="shared" si="67"/>
        <v>46105</v>
      </c>
      <c r="J113" s="1">
        <f t="shared" ca="1" si="68"/>
        <v>-44</v>
      </c>
      <c r="K113" s="3" t="str">
        <f t="shared" ca="1" si="69"/>
        <v>VENCIDO</v>
      </c>
      <c r="L113" s="1">
        <f t="shared" si="70"/>
        <v>3</v>
      </c>
      <c r="M113" s="1">
        <f t="shared" si="71"/>
        <v>13</v>
      </c>
    </row>
    <row r="114" spans="1:13" x14ac:dyDescent="0.25">
      <c r="A114" s="1" t="s">
        <v>291</v>
      </c>
      <c r="B114" s="2">
        <v>46084</v>
      </c>
      <c r="C114" s="1" t="s">
        <v>13</v>
      </c>
      <c r="D114" s="1">
        <v>7</v>
      </c>
      <c r="E114" s="7">
        <v>95000</v>
      </c>
      <c r="F114" s="14">
        <f t="shared" si="66"/>
        <v>285000</v>
      </c>
      <c r="G114" s="7">
        <v>950000</v>
      </c>
      <c r="H114" s="10">
        <v>665000</v>
      </c>
      <c r="I114" s="2">
        <f t="shared" si="67"/>
        <v>46140</v>
      </c>
      <c r="J114" s="1">
        <f t="shared" ca="1" si="68"/>
        <v>-9</v>
      </c>
      <c r="K114" s="3" t="str">
        <f t="shared" ca="1" si="69"/>
        <v>VENCIDO</v>
      </c>
      <c r="L114" s="1">
        <f t="shared" si="70"/>
        <v>7</v>
      </c>
      <c r="M114" s="1">
        <f t="shared" si="71"/>
        <v>3</v>
      </c>
    </row>
    <row r="115" spans="1:13" x14ac:dyDescent="0.25">
      <c r="A115" s="1" t="s">
        <v>270</v>
      </c>
      <c r="B115" s="2">
        <v>46084</v>
      </c>
      <c r="C115" s="1" t="s">
        <v>13</v>
      </c>
      <c r="D115" s="1">
        <v>7</v>
      </c>
      <c r="E115" s="7">
        <v>50000</v>
      </c>
      <c r="F115" s="14">
        <f t="shared" si="66"/>
        <v>550000</v>
      </c>
      <c r="G115" s="7">
        <v>800000</v>
      </c>
      <c r="H115" s="10">
        <v>250000</v>
      </c>
      <c r="I115" s="2">
        <f t="shared" si="67"/>
        <v>46126</v>
      </c>
      <c r="J115" s="1">
        <f t="shared" ca="1" si="68"/>
        <v>-23</v>
      </c>
      <c r="K115" s="3" t="str">
        <f t="shared" ca="1" si="69"/>
        <v>VENCIDO</v>
      </c>
      <c r="L115" s="1">
        <f t="shared" si="70"/>
        <v>5</v>
      </c>
      <c r="M115" s="1">
        <f t="shared" si="71"/>
        <v>11</v>
      </c>
    </row>
    <row r="116" spans="1:13" x14ac:dyDescent="0.25">
      <c r="A116" s="1" t="s">
        <v>271</v>
      </c>
      <c r="B116" s="2">
        <v>46084</v>
      </c>
      <c r="C116" s="1" t="s">
        <v>13</v>
      </c>
      <c r="D116" s="1">
        <v>7</v>
      </c>
      <c r="E116" s="7">
        <v>114000</v>
      </c>
      <c r="F116" s="14">
        <f t="shared" si="66"/>
        <v>3078000</v>
      </c>
      <c r="G116" s="7">
        <v>3990000</v>
      </c>
      <c r="H116" s="10">
        <v>912000</v>
      </c>
      <c r="I116" s="2">
        <f t="shared" si="67"/>
        <v>46147</v>
      </c>
      <c r="J116" s="1">
        <f t="shared" ca="1" si="68"/>
        <v>-2</v>
      </c>
      <c r="K116" s="3" t="str">
        <f t="shared" ca="1" si="69"/>
        <v>VENCIDO</v>
      </c>
      <c r="L116" s="1">
        <f t="shared" si="70"/>
        <v>8</v>
      </c>
      <c r="M116" s="1">
        <f t="shared" si="71"/>
        <v>27</v>
      </c>
    </row>
    <row r="117" spans="1:13" x14ac:dyDescent="0.25">
      <c r="A117" s="1" t="s">
        <v>272</v>
      </c>
      <c r="B117" s="2">
        <v>46084</v>
      </c>
      <c r="C117" s="1" t="s">
        <v>13</v>
      </c>
      <c r="D117" s="1">
        <v>7</v>
      </c>
      <c r="E117" s="7">
        <v>38000</v>
      </c>
      <c r="F117" s="14">
        <f t="shared" si="66"/>
        <v>152000</v>
      </c>
      <c r="G117" s="7">
        <v>380000</v>
      </c>
      <c r="H117" s="10">
        <v>228000</v>
      </c>
      <c r="I117" s="2">
        <f t="shared" si="67"/>
        <v>46133</v>
      </c>
      <c r="J117" s="1">
        <f t="shared" ca="1" si="68"/>
        <v>-16</v>
      </c>
      <c r="K117" s="3" t="str">
        <f t="shared" ca="1" si="69"/>
        <v>VENCIDO</v>
      </c>
      <c r="L117" s="1">
        <f t="shared" si="70"/>
        <v>6</v>
      </c>
      <c r="M117" s="1">
        <f t="shared" si="71"/>
        <v>4</v>
      </c>
    </row>
    <row r="118" spans="1:13" x14ac:dyDescent="0.25">
      <c r="A118" s="1" t="s">
        <v>18</v>
      </c>
      <c r="B118" s="2">
        <v>45918</v>
      </c>
      <c r="C118" s="1" t="s">
        <v>13</v>
      </c>
      <c r="D118" s="1">
        <v>7</v>
      </c>
      <c r="E118" s="7">
        <v>32000</v>
      </c>
      <c r="F118" s="14">
        <f t="shared" si="66"/>
        <v>64000</v>
      </c>
      <c r="G118" s="7">
        <v>960000</v>
      </c>
      <c r="H118" s="10">
        <v>896000</v>
      </c>
      <c r="I118" s="2">
        <f t="shared" si="67"/>
        <v>46121</v>
      </c>
      <c r="J118" s="1">
        <f t="shared" ca="1" si="68"/>
        <v>-28</v>
      </c>
      <c r="K118" s="3" t="str">
        <f t="shared" ca="1" si="69"/>
        <v>VENCIDO</v>
      </c>
      <c r="L118" s="1">
        <f t="shared" si="70"/>
        <v>28</v>
      </c>
      <c r="M118" s="1">
        <f t="shared" si="71"/>
        <v>2</v>
      </c>
    </row>
    <row r="119" spans="1:13" x14ac:dyDescent="0.25">
      <c r="A119" s="1" t="s">
        <v>273</v>
      </c>
      <c r="B119" s="2">
        <v>46085</v>
      </c>
      <c r="C119" s="1" t="s">
        <v>13</v>
      </c>
      <c r="D119" s="1">
        <v>7</v>
      </c>
      <c r="E119" s="7">
        <v>75000</v>
      </c>
      <c r="F119" s="14">
        <f t="shared" si="66"/>
        <v>300000</v>
      </c>
      <c r="G119" s="7">
        <v>900000</v>
      </c>
      <c r="H119" s="10">
        <v>600000</v>
      </c>
      <c r="I119" s="2">
        <f t="shared" si="67"/>
        <v>46148</v>
      </c>
      <c r="J119" s="1">
        <f t="shared" ca="1" si="68"/>
        <v>-1</v>
      </c>
      <c r="K119" s="3" t="str">
        <f t="shared" ca="1" si="69"/>
        <v>VENCIDO</v>
      </c>
      <c r="L119" s="1">
        <f t="shared" si="70"/>
        <v>8</v>
      </c>
      <c r="M119" s="1">
        <f t="shared" si="71"/>
        <v>4</v>
      </c>
    </row>
    <row r="120" spans="1:13" x14ac:dyDescent="0.25">
      <c r="A120" s="1" t="s">
        <v>327</v>
      </c>
      <c r="B120" s="2">
        <v>46085</v>
      </c>
      <c r="C120" s="1"/>
      <c r="D120" s="1">
        <v>7</v>
      </c>
      <c r="E120" s="7">
        <v>30000</v>
      </c>
      <c r="F120" s="14">
        <f t="shared" ref="F120:F170" si="72">G120-H120</f>
        <v>300000</v>
      </c>
      <c r="G120" s="7">
        <v>600000</v>
      </c>
      <c r="H120" s="10">
        <v>300000</v>
      </c>
      <c r="I120" s="2">
        <f t="shared" ref="I120:I170" si="73">IF(F120=0,"",IF(C120="CRED",B120+(INT((G120-F120)/E120)+1)*D120,B120+INT((G120-F120)/E120)*D120))</f>
        <v>46155</v>
      </c>
      <c r="J120" s="1">
        <f t="shared" ref="J120:J170" ca="1" si="74">IF(I120="","",I120-TODAY())</f>
        <v>6</v>
      </c>
      <c r="K120" s="3" t="str">
        <f t="shared" ref="K120:K170" ca="1" si="75">IF(J120="","",IF(J120&lt;0,"VENCIDO",IF(J120&lt;=1,"PRÓXIMO","VIGENTE")))</f>
        <v>VIGENTE</v>
      </c>
      <c r="L120" s="1">
        <f t="shared" ref="L120:L170" si="76">IF(F120=G120,0,INT((G120-F120)/E120))</f>
        <v>10</v>
      </c>
      <c r="M120" s="1">
        <f t="shared" ref="M120:M170" si="77">IF(F120=0,0,INT(F120/E120)+(IF(MOD(F120,E120)&gt;0,1,0)))</f>
        <v>10</v>
      </c>
    </row>
    <row r="121" spans="1:13" x14ac:dyDescent="0.25">
      <c r="A121" s="1" t="s">
        <v>277</v>
      </c>
      <c r="B121" s="2">
        <v>46086</v>
      </c>
      <c r="C121" s="1" t="s">
        <v>13</v>
      </c>
      <c r="D121" s="1">
        <v>7</v>
      </c>
      <c r="E121" s="7">
        <v>150000</v>
      </c>
      <c r="F121" s="14">
        <f t="shared" si="72"/>
        <v>1800000</v>
      </c>
      <c r="G121" s="7">
        <v>3000000</v>
      </c>
      <c r="H121" s="10">
        <v>1200000</v>
      </c>
      <c r="I121" s="2">
        <f t="shared" si="73"/>
        <v>46149</v>
      </c>
      <c r="J121" s="1">
        <f t="shared" ca="1" si="74"/>
        <v>0</v>
      </c>
      <c r="K121" s="3" t="str">
        <f t="shared" ca="1" si="75"/>
        <v>PRÓXIMO</v>
      </c>
      <c r="L121" s="1">
        <f t="shared" si="76"/>
        <v>8</v>
      </c>
      <c r="M121" s="1">
        <f t="shared" si="77"/>
        <v>12</v>
      </c>
    </row>
    <row r="122" spans="1:13" x14ac:dyDescent="0.25">
      <c r="A122" s="1" t="s">
        <v>279</v>
      </c>
      <c r="B122" s="2">
        <v>46088</v>
      </c>
      <c r="C122" s="1" t="s">
        <v>13</v>
      </c>
      <c r="D122" s="1">
        <v>7</v>
      </c>
      <c r="E122" s="7">
        <v>100000</v>
      </c>
      <c r="F122" s="14">
        <f t="shared" si="72"/>
        <v>800000</v>
      </c>
      <c r="G122" s="7">
        <v>1000000</v>
      </c>
      <c r="H122" s="10">
        <v>200000</v>
      </c>
      <c r="I122" s="2">
        <f t="shared" si="73"/>
        <v>46109</v>
      </c>
      <c r="J122" s="1">
        <f t="shared" ca="1" si="74"/>
        <v>-40</v>
      </c>
      <c r="K122" s="3" t="str">
        <f t="shared" ca="1" si="75"/>
        <v>VENCIDO</v>
      </c>
      <c r="L122" s="1">
        <f t="shared" si="76"/>
        <v>2</v>
      </c>
      <c r="M122" s="1">
        <f t="shared" si="77"/>
        <v>8</v>
      </c>
    </row>
    <row r="123" spans="1:13" x14ac:dyDescent="0.25">
      <c r="A123" s="1" t="s">
        <v>280</v>
      </c>
      <c r="B123" s="2">
        <v>46088</v>
      </c>
      <c r="C123" s="1"/>
      <c r="D123" s="1">
        <v>7</v>
      </c>
      <c r="E123" s="7">
        <v>35000</v>
      </c>
      <c r="F123" s="14">
        <f t="shared" si="72"/>
        <v>345000</v>
      </c>
      <c r="G123" s="7">
        <v>665000</v>
      </c>
      <c r="H123" s="10">
        <v>320000</v>
      </c>
      <c r="I123" s="2">
        <f t="shared" si="73"/>
        <v>46151</v>
      </c>
      <c r="J123" s="1">
        <f t="shared" ca="1" si="74"/>
        <v>2</v>
      </c>
      <c r="K123" s="3" t="str">
        <f t="shared" ca="1" si="75"/>
        <v>VIGENTE</v>
      </c>
      <c r="L123" s="1">
        <f t="shared" si="76"/>
        <v>9</v>
      </c>
      <c r="M123" s="1">
        <f t="shared" si="77"/>
        <v>10</v>
      </c>
    </row>
    <row r="124" spans="1:13" x14ac:dyDescent="0.25">
      <c r="A124" s="1" t="s">
        <v>285</v>
      </c>
      <c r="B124" s="2">
        <v>46090</v>
      </c>
      <c r="C124" s="1" t="s">
        <v>13</v>
      </c>
      <c r="D124" s="1">
        <v>7</v>
      </c>
      <c r="E124" s="7">
        <v>190000</v>
      </c>
      <c r="F124" s="14">
        <f t="shared" si="72"/>
        <v>1140000</v>
      </c>
      <c r="G124" s="7">
        <v>1900000</v>
      </c>
      <c r="H124" s="10">
        <v>760000</v>
      </c>
      <c r="I124" s="2">
        <f t="shared" si="73"/>
        <v>46125</v>
      </c>
      <c r="J124" s="1">
        <f t="shared" ca="1" si="74"/>
        <v>-24</v>
      </c>
      <c r="K124" s="3" t="str">
        <f t="shared" ca="1" si="75"/>
        <v>VENCIDO</v>
      </c>
      <c r="L124" s="1">
        <f t="shared" si="76"/>
        <v>4</v>
      </c>
      <c r="M124" s="1">
        <f t="shared" si="77"/>
        <v>6</v>
      </c>
    </row>
    <row r="125" spans="1:13" x14ac:dyDescent="0.25">
      <c r="A125" s="1" t="s">
        <v>286</v>
      </c>
      <c r="B125" s="2">
        <v>46091</v>
      </c>
      <c r="C125" s="1"/>
      <c r="D125" s="1">
        <v>7</v>
      </c>
      <c r="E125" s="7">
        <v>30000</v>
      </c>
      <c r="F125" s="14">
        <f t="shared" si="72"/>
        <v>150000</v>
      </c>
      <c r="G125" s="7">
        <v>390000</v>
      </c>
      <c r="H125" s="10">
        <v>240000</v>
      </c>
      <c r="I125" s="2">
        <f t="shared" si="73"/>
        <v>46147</v>
      </c>
      <c r="J125" s="1">
        <f t="shared" ca="1" si="74"/>
        <v>-2</v>
      </c>
      <c r="K125" s="3" t="str">
        <f t="shared" ca="1" si="75"/>
        <v>VENCIDO</v>
      </c>
      <c r="L125" s="1">
        <f t="shared" si="76"/>
        <v>8</v>
      </c>
      <c r="M125" s="1">
        <f t="shared" si="77"/>
        <v>5</v>
      </c>
    </row>
    <row r="126" spans="1:13" x14ac:dyDescent="0.25">
      <c r="A126" s="1" t="s">
        <v>287</v>
      </c>
      <c r="B126" s="2">
        <v>46091</v>
      </c>
      <c r="C126" s="1"/>
      <c r="D126" s="1">
        <v>7</v>
      </c>
      <c r="E126" s="7">
        <v>40000</v>
      </c>
      <c r="F126" s="14">
        <f t="shared" si="72"/>
        <v>480000</v>
      </c>
      <c r="G126" s="7">
        <v>800000</v>
      </c>
      <c r="H126" s="10">
        <v>320000</v>
      </c>
      <c r="I126" s="2">
        <f t="shared" si="73"/>
        <v>46147</v>
      </c>
      <c r="J126" s="1">
        <f t="shared" ca="1" si="74"/>
        <v>-2</v>
      </c>
      <c r="K126" s="3" t="str">
        <f t="shared" ca="1" si="75"/>
        <v>VENCIDO</v>
      </c>
      <c r="L126" s="1">
        <f t="shared" si="76"/>
        <v>8</v>
      </c>
      <c r="M126" s="1">
        <f t="shared" si="77"/>
        <v>12</v>
      </c>
    </row>
    <row r="127" spans="1:13" x14ac:dyDescent="0.25">
      <c r="A127" s="1" t="s">
        <v>288</v>
      </c>
      <c r="B127" s="2">
        <v>46091</v>
      </c>
      <c r="C127" s="1" t="s">
        <v>13</v>
      </c>
      <c r="D127" s="1">
        <v>7</v>
      </c>
      <c r="E127" s="7">
        <v>95000</v>
      </c>
      <c r="F127" s="14">
        <f t="shared" si="72"/>
        <v>190000</v>
      </c>
      <c r="G127" s="7">
        <v>950000</v>
      </c>
      <c r="H127" s="10">
        <v>760000</v>
      </c>
      <c r="I127" s="2">
        <f t="shared" si="73"/>
        <v>46154</v>
      </c>
      <c r="J127" s="1">
        <f t="shared" ca="1" si="74"/>
        <v>5</v>
      </c>
      <c r="K127" s="3" t="str">
        <f t="shared" ca="1" si="75"/>
        <v>VIGENTE</v>
      </c>
      <c r="L127" s="1">
        <f t="shared" si="76"/>
        <v>8</v>
      </c>
      <c r="M127" s="1">
        <f t="shared" si="77"/>
        <v>2</v>
      </c>
    </row>
    <row r="128" spans="1:13" x14ac:dyDescent="0.25">
      <c r="A128" s="1" t="s">
        <v>289</v>
      </c>
      <c r="B128" s="2">
        <v>46091</v>
      </c>
      <c r="C128" s="1" t="s">
        <v>13</v>
      </c>
      <c r="D128" s="1">
        <v>7</v>
      </c>
      <c r="E128" s="7">
        <v>25000</v>
      </c>
      <c r="F128" s="14">
        <f t="shared" si="72"/>
        <v>150000</v>
      </c>
      <c r="G128" s="7">
        <v>325000</v>
      </c>
      <c r="H128" s="10">
        <v>175000</v>
      </c>
      <c r="I128" s="2">
        <f t="shared" si="73"/>
        <v>46147</v>
      </c>
      <c r="J128" s="1">
        <f t="shared" ca="1" si="74"/>
        <v>-2</v>
      </c>
      <c r="K128" s="3" t="str">
        <f t="shared" ca="1" si="75"/>
        <v>VENCIDO</v>
      </c>
      <c r="L128" s="1">
        <f t="shared" si="76"/>
        <v>7</v>
      </c>
      <c r="M128" s="1">
        <f t="shared" si="77"/>
        <v>6</v>
      </c>
    </row>
    <row r="129" spans="1:13" x14ac:dyDescent="0.25">
      <c r="A129" s="1" t="s">
        <v>290</v>
      </c>
      <c r="B129" s="2">
        <v>46092</v>
      </c>
      <c r="C129" s="1"/>
      <c r="D129" s="1">
        <v>7</v>
      </c>
      <c r="E129" s="7">
        <v>40000</v>
      </c>
      <c r="F129" s="14">
        <f t="shared" si="72"/>
        <v>600000</v>
      </c>
      <c r="G129" s="7">
        <v>920000</v>
      </c>
      <c r="H129" s="10">
        <v>320000</v>
      </c>
      <c r="I129" s="2">
        <f t="shared" si="73"/>
        <v>46148</v>
      </c>
      <c r="J129" s="1">
        <f t="shared" ca="1" si="74"/>
        <v>-1</v>
      </c>
      <c r="K129" s="3" t="str">
        <f t="shared" ca="1" si="75"/>
        <v>VENCIDO</v>
      </c>
      <c r="L129" s="1">
        <f t="shared" si="76"/>
        <v>8</v>
      </c>
      <c r="M129" s="1">
        <f t="shared" si="77"/>
        <v>15</v>
      </c>
    </row>
    <row r="130" spans="1:13" x14ac:dyDescent="0.25">
      <c r="A130" s="1" t="s">
        <v>502</v>
      </c>
      <c r="B130" s="2">
        <v>46092</v>
      </c>
      <c r="C130" s="1" t="s">
        <v>13</v>
      </c>
      <c r="D130" s="1">
        <v>7</v>
      </c>
      <c r="E130" s="7">
        <v>38000</v>
      </c>
      <c r="F130" s="14">
        <f t="shared" si="72"/>
        <v>152000</v>
      </c>
      <c r="G130" s="7">
        <v>380000</v>
      </c>
      <c r="H130" s="10">
        <v>228000</v>
      </c>
      <c r="I130" s="2">
        <f t="shared" si="73"/>
        <v>46141</v>
      </c>
      <c r="J130" s="1">
        <f t="shared" ca="1" si="74"/>
        <v>-8</v>
      </c>
      <c r="K130" s="3" t="str">
        <f t="shared" ca="1" si="75"/>
        <v>VENCIDO</v>
      </c>
      <c r="L130" s="1">
        <f t="shared" si="76"/>
        <v>6</v>
      </c>
      <c r="M130" s="1">
        <f t="shared" si="77"/>
        <v>4</v>
      </c>
    </row>
    <row r="131" spans="1:13" x14ac:dyDescent="0.25">
      <c r="A131" s="1" t="s">
        <v>292</v>
      </c>
      <c r="B131" s="2">
        <v>46092</v>
      </c>
      <c r="C131" s="1" t="s">
        <v>13</v>
      </c>
      <c r="D131" s="1">
        <v>7</v>
      </c>
      <c r="E131" s="7">
        <v>34000</v>
      </c>
      <c r="F131" s="14">
        <f t="shared" si="72"/>
        <v>34000</v>
      </c>
      <c r="G131" s="7">
        <v>170000</v>
      </c>
      <c r="H131" s="10">
        <v>136000</v>
      </c>
      <c r="I131" s="2">
        <f t="shared" si="73"/>
        <v>46127</v>
      </c>
      <c r="J131" s="1">
        <f t="shared" ca="1" si="74"/>
        <v>-22</v>
      </c>
      <c r="K131" s="3" t="str">
        <f t="shared" ca="1" si="75"/>
        <v>VENCIDO</v>
      </c>
      <c r="L131" s="1">
        <f t="shared" si="76"/>
        <v>4</v>
      </c>
      <c r="M131" s="1">
        <f t="shared" si="77"/>
        <v>1</v>
      </c>
    </row>
    <row r="132" spans="1:13" x14ac:dyDescent="0.25">
      <c r="A132" s="1" t="s">
        <v>293</v>
      </c>
      <c r="B132" s="2">
        <v>46092</v>
      </c>
      <c r="C132" s="1"/>
      <c r="D132" s="1">
        <v>7</v>
      </c>
      <c r="E132" s="7">
        <v>35000</v>
      </c>
      <c r="F132" s="14">
        <f t="shared" si="72"/>
        <v>595000</v>
      </c>
      <c r="G132" s="7">
        <v>875000</v>
      </c>
      <c r="H132" s="10">
        <v>280000</v>
      </c>
      <c r="I132" s="2">
        <f t="shared" si="73"/>
        <v>46148</v>
      </c>
      <c r="J132" s="1">
        <f t="shared" ca="1" si="74"/>
        <v>-1</v>
      </c>
      <c r="K132" s="3" t="str">
        <f t="shared" ca="1" si="75"/>
        <v>VENCIDO</v>
      </c>
      <c r="L132" s="1">
        <f t="shared" si="76"/>
        <v>8</v>
      </c>
      <c r="M132" s="1">
        <f t="shared" si="77"/>
        <v>17</v>
      </c>
    </row>
    <row r="133" spans="1:13" x14ac:dyDescent="0.25">
      <c r="A133" s="1" t="s">
        <v>298</v>
      </c>
      <c r="B133" s="2">
        <v>46093</v>
      </c>
      <c r="C133" s="1"/>
      <c r="D133" s="1">
        <v>30</v>
      </c>
      <c r="E133" s="7">
        <v>156000</v>
      </c>
      <c r="F133" s="14">
        <f t="shared" si="72"/>
        <v>156000</v>
      </c>
      <c r="G133" s="7">
        <v>624000</v>
      </c>
      <c r="H133" s="10">
        <v>468000</v>
      </c>
      <c r="I133" s="2">
        <f t="shared" si="73"/>
        <v>46183</v>
      </c>
      <c r="J133" s="1">
        <f t="shared" ca="1" si="74"/>
        <v>34</v>
      </c>
      <c r="K133" s="3" t="str">
        <f t="shared" ca="1" si="75"/>
        <v>VIGENTE</v>
      </c>
      <c r="L133" s="1">
        <f t="shared" si="76"/>
        <v>3</v>
      </c>
      <c r="M133" s="1">
        <f t="shared" si="77"/>
        <v>1</v>
      </c>
    </row>
    <row r="134" spans="1:13" x14ac:dyDescent="0.25">
      <c r="A134" s="1" t="s">
        <v>513</v>
      </c>
      <c r="B134" s="2">
        <v>46094</v>
      </c>
      <c r="C134" s="1" t="s">
        <v>13</v>
      </c>
      <c r="D134" s="1">
        <v>7</v>
      </c>
      <c r="E134" s="7">
        <v>28500</v>
      </c>
      <c r="F134" s="14">
        <f t="shared" si="72"/>
        <v>105000</v>
      </c>
      <c r="G134" s="7">
        <v>285000</v>
      </c>
      <c r="H134" s="10">
        <v>180000</v>
      </c>
      <c r="I134" s="2">
        <f t="shared" si="73"/>
        <v>46143</v>
      </c>
      <c r="J134" s="1">
        <f t="shared" ca="1" si="74"/>
        <v>-6</v>
      </c>
      <c r="K134" s="3" t="str">
        <f t="shared" ca="1" si="75"/>
        <v>VENCIDO</v>
      </c>
      <c r="L134" s="1">
        <f t="shared" si="76"/>
        <v>6</v>
      </c>
      <c r="M134" s="1">
        <f t="shared" si="77"/>
        <v>4</v>
      </c>
    </row>
    <row r="135" spans="1:13" x14ac:dyDescent="0.25">
      <c r="A135" s="1" t="s">
        <v>308</v>
      </c>
      <c r="B135" s="2">
        <v>46094</v>
      </c>
      <c r="C135" s="1"/>
      <c r="D135" s="1">
        <v>7</v>
      </c>
      <c r="E135" s="7">
        <v>30000</v>
      </c>
      <c r="F135" s="14">
        <f t="shared" si="72"/>
        <v>363000</v>
      </c>
      <c r="G135" s="7">
        <v>600000</v>
      </c>
      <c r="H135" s="10">
        <v>237000</v>
      </c>
      <c r="I135" s="2">
        <f t="shared" si="73"/>
        <v>46143</v>
      </c>
      <c r="J135" s="1">
        <f t="shared" ca="1" si="74"/>
        <v>-6</v>
      </c>
      <c r="K135" s="3" t="str">
        <f t="shared" ca="1" si="75"/>
        <v>VENCIDO</v>
      </c>
      <c r="L135" s="1">
        <f t="shared" si="76"/>
        <v>7</v>
      </c>
      <c r="M135" s="1">
        <f t="shared" si="77"/>
        <v>13</v>
      </c>
    </row>
    <row r="136" spans="1:13" x14ac:dyDescent="0.25">
      <c r="A136" s="1" t="s">
        <v>309</v>
      </c>
      <c r="B136" s="2">
        <v>46095</v>
      </c>
      <c r="C136" s="1" t="s">
        <v>13</v>
      </c>
      <c r="D136" s="1">
        <v>7</v>
      </c>
      <c r="E136" s="7">
        <v>25000</v>
      </c>
      <c r="F136" s="14">
        <f t="shared" si="72"/>
        <v>202000</v>
      </c>
      <c r="G136" s="7">
        <v>350000</v>
      </c>
      <c r="H136" s="10">
        <v>148000</v>
      </c>
      <c r="I136" s="2">
        <f t="shared" si="73"/>
        <v>46137</v>
      </c>
      <c r="J136" s="1">
        <f t="shared" ca="1" si="74"/>
        <v>-12</v>
      </c>
      <c r="K136" s="3" t="str">
        <f t="shared" ca="1" si="75"/>
        <v>VENCIDO</v>
      </c>
      <c r="L136" s="1">
        <f t="shared" si="76"/>
        <v>5</v>
      </c>
      <c r="M136" s="1">
        <f t="shared" si="77"/>
        <v>9</v>
      </c>
    </row>
    <row r="137" spans="1:13" x14ac:dyDescent="0.25">
      <c r="A137" s="1" t="s">
        <v>313</v>
      </c>
      <c r="B137" s="2">
        <v>46097</v>
      </c>
      <c r="C137" s="1" t="s">
        <v>13</v>
      </c>
      <c r="D137" s="1">
        <v>7</v>
      </c>
      <c r="E137" s="7">
        <v>35000</v>
      </c>
      <c r="F137" s="14">
        <f t="shared" si="72"/>
        <v>455000</v>
      </c>
      <c r="G137" s="7">
        <v>700000</v>
      </c>
      <c r="H137" s="10">
        <v>245000</v>
      </c>
      <c r="I137" s="2">
        <f t="shared" si="73"/>
        <v>46153</v>
      </c>
      <c r="J137" s="1">
        <f t="shared" ca="1" si="74"/>
        <v>4</v>
      </c>
      <c r="K137" s="3" t="str">
        <f t="shared" ca="1" si="75"/>
        <v>VIGENTE</v>
      </c>
      <c r="L137" s="1">
        <f t="shared" si="76"/>
        <v>7</v>
      </c>
      <c r="M137" s="1">
        <f t="shared" si="77"/>
        <v>13</v>
      </c>
    </row>
    <row r="138" spans="1:13" x14ac:dyDescent="0.25">
      <c r="A138" s="1" t="s">
        <v>316</v>
      </c>
      <c r="B138" s="2">
        <v>46098</v>
      </c>
      <c r="C138" s="1" t="s">
        <v>13</v>
      </c>
      <c r="D138" s="1">
        <v>7</v>
      </c>
      <c r="E138" s="7">
        <v>47500</v>
      </c>
      <c r="F138" s="14">
        <f t="shared" si="72"/>
        <v>142500</v>
      </c>
      <c r="G138" s="7">
        <v>475000</v>
      </c>
      <c r="H138" s="10">
        <v>332500</v>
      </c>
      <c r="I138" s="2">
        <f t="shared" si="73"/>
        <v>46154</v>
      </c>
      <c r="J138" s="1">
        <f t="shared" ca="1" si="74"/>
        <v>5</v>
      </c>
      <c r="K138" s="3" t="str">
        <f t="shared" ca="1" si="75"/>
        <v>VIGENTE</v>
      </c>
      <c r="L138" s="1">
        <f t="shared" si="76"/>
        <v>7</v>
      </c>
      <c r="M138" s="1">
        <f t="shared" si="77"/>
        <v>3</v>
      </c>
    </row>
    <row r="139" spans="1:13" x14ac:dyDescent="0.25">
      <c r="A139" s="1" t="s">
        <v>317</v>
      </c>
      <c r="B139" s="2">
        <v>46098</v>
      </c>
      <c r="C139" s="1" t="s">
        <v>13</v>
      </c>
      <c r="D139" s="1">
        <v>7</v>
      </c>
      <c r="E139" s="7">
        <v>47500</v>
      </c>
      <c r="F139" s="14">
        <f t="shared" si="72"/>
        <v>285000</v>
      </c>
      <c r="G139" s="7">
        <v>475000</v>
      </c>
      <c r="H139" s="10">
        <v>190000</v>
      </c>
      <c r="I139" s="2">
        <f t="shared" si="73"/>
        <v>46133</v>
      </c>
      <c r="J139" s="1">
        <f t="shared" ca="1" si="74"/>
        <v>-16</v>
      </c>
      <c r="K139" s="3" t="str">
        <f t="shared" ca="1" si="75"/>
        <v>VENCIDO</v>
      </c>
      <c r="L139" s="1">
        <f t="shared" si="76"/>
        <v>4</v>
      </c>
      <c r="M139" s="1">
        <f t="shared" si="77"/>
        <v>6</v>
      </c>
    </row>
    <row r="140" spans="1:13" x14ac:dyDescent="0.25">
      <c r="A140" s="1" t="s">
        <v>322</v>
      </c>
      <c r="B140" s="2">
        <v>46099</v>
      </c>
      <c r="C140" s="1" t="s">
        <v>13</v>
      </c>
      <c r="D140" s="1">
        <v>7</v>
      </c>
      <c r="E140" s="7">
        <v>76000</v>
      </c>
      <c r="F140" s="14">
        <f t="shared" si="72"/>
        <v>456000</v>
      </c>
      <c r="G140" s="7">
        <v>760000</v>
      </c>
      <c r="H140" s="10">
        <v>304000</v>
      </c>
      <c r="I140" s="2">
        <f t="shared" si="73"/>
        <v>46134</v>
      </c>
      <c r="J140" s="1">
        <f t="shared" ca="1" si="74"/>
        <v>-15</v>
      </c>
      <c r="K140" s="3" t="str">
        <f t="shared" ca="1" si="75"/>
        <v>VENCIDO</v>
      </c>
      <c r="L140" s="1">
        <f t="shared" si="76"/>
        <v>4</v>
      </c>
      <c r="M140" s="1">
        <f t="shared" si="77"/>
        <v>6</v>
      </c>
    </row>
    <row r="141" spans="1:13" x14ac:dyDescent="0.25">
      <c r="A141" s="1" t="s">
        <v>328</v>
      </c>
      <c r="B141" s="2">
        <v>46099</v>
      </c>
      <c r="C141" s="1"/>
      <c r="D141" s="1">
        <v>7</v>
      </c>
      <c r="E141" s="7">
        <v>29000</v>
      </c>
      <c r="F141" s="14">
        <f t="shared" si="72"/>
        <v>348000</v>
      </c>
      <c r="G141" s="7">
        <v>522000</v>
      </c>
      <c r="H141" s="10">
        <v>174000</v>
      </c>
      <c r="I141" s="2">
        <f t="shared" si="73"/>
        <v>46141</v>
      </c>
      <c r="J141" s="1">
        <f t="shared" ca="1" si="74"/>
        <v>-8</v>
      </c>
      <c r="K141" s="3" t="str">
        <f t="shared" ca="1" si="75"/>
        <v>VENCIDO</v>
      </c>
      <c r="L141" s="1">
        <f t="shared" si="76"/>
        <v>6</v>
      </c>
      <c r="M141" s="1">
        <f t="shared" si="77"/>
        <v>12</v>
      </c>
    </row>
    <row r="142" spans="1:13" x14ac:dyDescent="0.25">
      <c r="A142" s="1" t="s">
        <v>333</v>
      </c>
      <c r="B142" s="2">
        <v>46192</v>
      </c>
      <c r="C142" s="1"/>
      <c r="D142" s="1">
        <v>7</v>
      </c>
      <c r="E142" s="7">
        <v>470000</v>
      </c>
      <c r="F142" s="14">
        <f t="shared" si="72"/>
        <v>470000</v>
      </c>
      <c r="G142" s="7">
        <v>470000</v>
      </c>
      <c r="H142" s="10"/>
      <c r="I142" s="2">
        <f t="shared" si="73"/>
        <v>46192</v>
      </c>
      <c r="J142" s="1">
        <f t="shared" ca="1" si="74"/>
        <v>43</v>
      </c>
      <c r="K142" s="3" t="str">
        <f t="shared" ca="1" si="75"/>
        <v>VIGENTE</v>
      </c>
      <c r="L142" s="1">
        <f t="shared" si="76"/>
        <v>0</v>
      </c>
      <c r="M142" s="1">
        <f t="shared" si="77"/>
        <v>1</v>
      </c>
    </row>
    <row r="143" spans="1:13" x14ac:dyDescent="0.25">
      <c r="A143" s="1" t="s">
        <v>394</v>
      </c>
      <c r="B143" s="2">
        <v>46100</v>
      </c>
      <c r="C143" s="1"/>
      <c r="D143" s="1">
        <v>7</v>
      </c>
      <c r="E143" s="7">
        <v>25000</v>
      </c>
      <c r="F143" s="14">
        <f t="shared" si="72"/>
        <v>225000</v>
      </c>
      <c r="G143" s="7">
        <v>400000</v>
      </c>
      <c r="H143" s="10">
        <v>175000</v>
      </c>
      <c r="I143" s="2">
        <f t="shared" si="73"/>
        <v>46149</v>
      </c>
      <c r="J143" s="1">
        <f t="shared" ca="1" si="74"/>
        <v>0</v>
      </c>
      <c r="K143" s="3" t="str">
        <f t="shared" ca="1" si="75"/>
        <v>PRÓXIMO</v>
      </c>
      <c r="L143" s="1">
        <f t="shared" si="76"/>
        <v>7</v>
      </c>
      <c r="M143" s="1">
        <f t="shared" si="77"/>
        <v>9</v>
      </c>
    </row>
    <row r="144" spans="1:13" x14ac:dyDescent="0.25">
      <c r="A144" s="1" t="s">
        <v>335</v>
      </c>
      <c r="B144" s="2">
        <v>46100</v>
      </c>
      <c r="C144" s="1"/>
      <c r="D144" s="1">
        <v>15</v>
      </c>
      <c r="E144" s="7">
        <v>90000</v>
      </c>
      <c r="F144" s="14">
        <f t="shared" si="72"/>
        <v>630000</v>
      </c>
      <c r="G144" s="7">
        <v>900000</v>
      </c>
      <c r="H144" s="10">
        <v>270000</v>
      </c>
      <c r="I144" s="2">
        <f t="shared" si="73"/>
        <v>46145</v>
      </c>
      <c r="J144" s="1">
        <f t="shared" ca="1" si="74"/>
        <v>-4</v>
      </c>
      <c r="K144" s="3" t="str">
        <f t="shared" ca="1" si="75"/>
        <v>VENCIDO</v>
      </c>
      <c r="L144" s="1">
        <f t="shared" si="76"/>
        <v>3</v>
      </c>
      <c r="M144" s="1">
        <f t="shared" si="77"/>
        <v>7</v>
      </c>
    </row>
    <row r="145" spans="1:13" x14ac:dyDescent="0.25">
      <c r="A145" s="1" t="s">
        <v>337</v>
      </c>
      <c r="B145" s="2">
        <v>46101</v>
      </c>
      <c r="C145" s="1"/>
      <c r="D145" s="1">
        <v>7</v>
      </c>
      <c r="E145" s="7">
        <v>28000</v>
      </c>
      <c r="F145" s="14">
        <f t="shared" si="72"/>
        <v>364000</v>
      </c>
      <c r="G145" s="7">
        <v>560000</v>
      </c>
      <c r="H145" s="10">
        <v>196000</v>
      </c>
      <c r="I145" s="2">
        <f t="shared" si="73"/>
        <v>46150</v>
      </c>
      <c r="J145" s="1">
        <f t="shared" ca="1" si="74"/>
        <v>1</v>
      </c>
      <c r="K145" s="3" t="str">
        <f t="shared" ca="1" si="75"/>
        <v>PRÓXIMO</v>
      </c>
      <c r="L145" s="1">
        <f t="shared" si="76"/>
        <v>7</v>
      </c>
      <c r="M145" s="1">
        <f t="shared" si="77"/>
        <v>13</v>
      </c>
    </row>
    <row r="146" spans="1:13" x14ac:dyDescent="0.25">
      <c r="A146" s="1" t="s">
        <v>338</v>
      </c>
      <c r="B146" s="2">
        <v>46101</v>
      </c>
      <c r="C146" s="1"/>
      <c r="D146" s="1">
        <v>7</v>
      </c>
      <c r="E146" s="7">
        <v>18000</v>
      </c>
      <c r="F146" s="14">
        <f t="shared" si="72"/>
        <v>54000</v>
      </c>
      <c r="G146" s="7">
        <v>144000</v>
      </c>
      <c r="H146" s="10">
        <v>90000</v>
      </c>
      <c r="I146" s="2">
        <f t="shared" si="73"/>
        <v>46136</v>
      </c>
      <c r="J146" s="1">
        <f t="shared" ca="1" si="74"/>
        <v>-13</v>
      </c>
      <c r="K146" s="3" t="str">
        <f t="shared" ca="1" si="75"/>
        <v>VENCIDO</v>
      </c>
      <c r="L146" s="1">
        <f t="shared" si="76"/>
        <v>5</v>
      </c>
      <c r="M146" s="1">
        <f t="shared" si="77"/>
        <v>3</v>
      </c>
    </row>
    <row r="147" spans="1:13" x14ac:dyDescent="0.25">
      <c r="A147" s="1" t="s">
        <v>339</v>
      </c>
      <c r="B147" s="2">
        <v>46101</v>
      </c>
      <c r="C147" s="1"/>
      <c r="D147" s="1">
        <v>7</v>
      </c>
      <c r="E147" s="7">
        <v>55000</v>
      </c>
      <c r="F147" s="14">
        <f t="shared" si="72"/>
        <v>1265000</v>
      </c>
      <c r="G147" s="7">
        <v>1650000</v>
      </c>
      <c r="H147" s="10">
        <v>385000</v>
      </c>
      <c r="I147" s="2">
        <f t="shared" si="73"/>
        <v>46150</v>
      </c>
      <c r="J147" s="1">
        <f t="shared" ca="1" si="74"/>
        <v>1</v>
      </c>
      <c r="K147" s="3" t="str">
        <f t="shared" ca="1" si="75"/>
        <v>PRÓXIMO</v>
      </c>
      <c r="L147" s="1">
        <f t="shared" si="76"/>
        <v>7</v>
      </c>
      <c r="M147" s="1">
        <f t="shared" si="77"/>
        <v>23</v>
      </c>
    </row>
    <row r="148" spans="1:13" x14ac:dyDescent="0.25">
      <c r="A148" s="1" t="s">
        <v>340</v>
      </c>
      <c r="B148" s="2">
        <v>46102</v>
      </c>
      <c r="C148" s="1"/>
      <c r="D148" s="1">
        <v>7</v>
      </c>
      <c r="E148" s="7">
        <v>20000</v>
      </c>
      <c r="F148" s="14">
        <f t="shared" si="72"/>
        <v>40000</v>
      </c>
      <c r="G148" s="7">
        <v>160000</v>
      </c>
      <c r="H148" s="10">
        <v>120000</v>
      </c>
      <c r="I148" s="2">
        <f t="shared" si="73"/>
        <v>46144</v>
      </c>
      <c r="J148" s="1">
        <f t="shared" ca="1" si="74"/>
        <v>-5</v>
      </c>
      <c r="K148" s="3" t="str">
        <f t="shared" ca="1" si="75"/>
        <v>VENCIDO</v>
      </c>
      <c r="L148" s="1">
        <f t="shared" si="76"/>
        <v>6</v>
      </c>
      <c r="M148" s="1">
        <f t="shared" si="77"/>
        <v>2</v>
      </c>
    </row>
    <row r="149" spans="1:13" x14ac:dyDescent="0.25">
      <c r="A149" s="1" t="s">
        <v>71</v>
      </c>
      <c r="B149" s="2">
        <v>46095</v>
      </c>
      <c r="C149" s="1"/>
      <c r="D149" s="1">
        <v>7</v>
      </c>
      <c r="E149" s="7">
        <v>200000</v>
      </c>
      <c r="F149" s="14">
        <f t="shared" si="72"/>
        <v>4000000</v>
      </c>
      <c r="G149" s="7">
        <v>5000000</v>
      </c>
      <c r="H149" s="10">
        <v>1000000</v>
      </c>
      <c r="I149" s="2">
        <f t="shared" si="73"/>
        <v>46130</v>
      </c>
      <c r="J149" s="1">
        <f t="shared" ca="1" si="74"/>
        <v>-19</v>
      </c>
      <c r="K149" s="3" t="str">
        <f t="shared" ca="1" si="75"/>
        <v>VENCIDO</v>
      </c>
      <c r="L149" s="1">
        <f t="shared" si="76"/>
        <v>5</v>
      </c>
      <c r="M149" s="1">
        <f t="shared" si="77"/>
        <v>20</v>
      </c>
    </row>
    <row r="150" spans="1:13" x14ac:dyDescent="0.25">
      <c r="A150" s="1" t="s">
        <v>342</v>
      </c>
      <c r="B150" s="2">
        <v>46104</v>
      </c>
      <c r="C150" s="1"/>
      <c r="D150" s="1">
        <v>7</v>
      </c>
      <c r="E150" s="7">
        <v>42000</v>
      </c>
      <c r="F150" s="14">
        <f t="shared" si="72"/>
        <v>462000</v>
      </c>
      <c r="G150" s="7">
        <v>714000</v>
      </c>
      <c r="H150" s="10">
        <v>252000</v>
      </c>
      <c r="I150" s="2">
        <f t="shared" si="73"/>
        <v>46146</v>
      </c>
      <c r="J150" s="1">
        <f t="shared" ca="1" si="74"/>
        <v>-3</v>
      </c>
      <c r="K150" s="3" t="str">
        <f t="shared" ca="1" si="75"/>
        <v>VENCIDO</v>
      </c>
      <c r="L150" s="1">
        <f t="shared" si="76"/>
        <v>6</v>
      </c>
      <c r="M150" s="1">
        <f t="shared" si="77"/>
        <v>11</v>
      </c>
    </row>
    <row r="151" spans="1:13" x14ac:dyDescent="0.25">
      <c r="A151" s="1" t="s">
        <v>344</v>
      </c>
      <c r="B151" s="2">
        <v>46104</v>
      </c>
      <c r="C151" s="1" t="s">
        <v>13</v>
      </c>
      <c r="D151" s="1">
        <v>7</v>
      </c>
      <c r="E151" s="7">
        <v>28000</v>
      </c>
      <c r="F151" s="14">
        <f t="shared" si="72"/>
        <v>336000</v>
      </c>
      <c r="G151" s="7">
        <v>504000</v>
      </c>
      <c r="H151" s="10">
        <v>168000</v>
      </c>
      <c r="I151" s="2">
        <f t="shared" si="73"/>
        <v>46153</v>
      </c>
      <c r="J151" s="1">
        <f t="shared" ca="1" si="74"/>
        <v>4</v>
      </c>
      <c r="K151" s="3" t="str">
        <f t="shared" ca="1" si="75"/>
        <v>VIGENTE</v>
      </c>
      <c r="L151" s="1">
        <f t="shared" si="76"/>
        <v>6</v>
      </c>
      <c r="M151" s="1">
        <f t="shared" si="77"/>
        <v>12</v>
      </c>
    </row>
    <row r="152" spans="1:13" x14ac:dyDescent="0.25">
      <c r="A152" s="1" t="s">
        <v>351</v>
      </c>
      <c r="B152" s="2">
        <v>46106</v>
      </c>
      <c r="C152" s="1" t="s">
        <v>13</v>
      </c>
      <c r="D152" s="1">
        <v>7</v>
      </c>
      <c r="E152" s="7">
        <v>57000</v>
      </c>
      <c r="F152" s="14">
        <f t="shared" si="72"/>
        <v>171000</v>
      </c>
      <c r="G152" s="7">
        <v>285000</v>
      </c>
      <c r="H152" s="10">
        <v>114000</v>
      </c>
      <c r="I152" s="2">
        <f t="shared" si="73"/>
        <v>46127</v>
      </c>
      <c r="J152" s="1">
        <f t="shared" ca="1" si="74"/>
        <v>-22</v>
      </c>
      <c r="K152" s="3" t="str">
        <f t="shared" ca="1" si="75"/>
        <v>VENCIDO</v>
      </c>
      <c r="L152" s="1">
        <f t="shared" si="76"/>
        <v>2</v>
      </c>
      <c r="M152" s="1">
        <f t="shared" si="77"/>
        <v>3</v>
      </c>
    </row>
    <row r="153" spans="1:13" x14ac:dyDescent="0.25">
      <c r="A153" s="1" t="s">
        <v>355</v>
      </c>
      <c r="B153" s="2">
        <v>46106</v>
      </c>
      <c r="C153" s="1" t="s">
        <v>13</v>
      </c>
      <c r="D153" s="1">
        <v>7</v>
      </c>
      <c r="E153" s="7">
        <v>95000</v>
      </c>
      <c r="F153" s="14">
        <f t="shared" si="72"/>
        <v>665000</v>
      </c>
      <c r="G153" s="7">
        <v>760000</v>
      </c>
      <c r="H153" s="10">
        <v>95000</v>
      </c>
      <c r="I153" s="2">
        <f t="shared" si="73"/>
        <v>46120</v>
      </c>
      <c r="J153" s="1">
        <f t="shared" ca="1" si="74"/>
        <v>-29</v>
      </c>
      <c r="K153" s="3" t="str">
        <f t="shared" ca="1" si="75"/>
        <v>VENCIDO</v>
      </c>
      <c r="L153" s="1">
        <f t="shared" si="76"/>
        <v>1</v>
      </c>
      <c r="M153" s="1">
        <f t="shared" si="77"/>
        <v>7</v>
      </c>
    </row>
    <row r="154" spans="1:13" x14ac:dyDescent="0.25">
      <c r="A154" s="1" t="s">
        <v>356</v>
      </c>
      <c r="B154" s="2">
        <v>46106</v>
      </c>
      <c r="C154" s="1"/>
      <c r="D154" s="1">
        <v>7</v>
      </c>
      <c r="E154" s="7">
        <v>28000</v>
      </c>
      <c r="F154" s="14">
        <f t="shared" si="72"/>
        <v>252000</v>
      </c>
      <c r="G154" s="7">
        <v>392000</v>
      </c>
      <c r="H154" s="10">
        <v>140000</v>
      </c>
      <c r="I154" s="2">
        <f t="shared" si="73"/>
        <v>46141</v>
      </c>
      <c r="J154" s="1">
        <f t="shared" ca="1" si="74"/>
        <v>-8</v>
      </c>
      <c r="K154" s="3" t="str">
        <f t="shared" ca="1" si="75"/>
        <v>VENCIDO</v>
      </c>
      <c r="L154" s="1">
        <f t="shared" si="76"/>
        <v>5</v>
      </c>
      <c r="M154" s="1">
        <f t="shared" si="77"/>
        <v>9</v>
      </c>
    </row>
    <row r="155" spans="1:13" x14ac:dyDescent="0.25">
      <c r="A155" s="1" t="s">
        <v>357</v>
      </c>
      <c r="B155" s="2">
        <v>46107</v>
      </c>
      <c r="C155" s="1"/>
      <c r="D155" s="1">
        <v>7</v>
      </c>
      <c r="E155" s="7">
        <v>28000</v>
      </c>
      <c r="F155" s="14">
        <f t="shared" si="72"/>
        <v>280000</v>
      </c>
      <c r="G155" s="7">
        <v>448000</v>
      </c>
      <c r="H155" s="10">
        <v>168000</v>
      </c>
      <c r="I155" s="2">
        <f t="shared" si="73"/>
        <v>46149</v>
      </c>
      <c r="J155" s="1">
        <f t="shared" ca="1" si="74"/>
        <v>0</v>
      </c>
      <c r="K155" s="3" t="str">
        <f t="shared" ca="1" si="75"/>
        <v>PRÓXIMO</v>
      </c>
      <c r="L155" s="1">
        <f t="shared" si="76"/>
        <v>6</v>
      </c>
      <c r="M155" s="1">
        <f t="shared" si="77"/>
        <v>10</v>
      </c>
    </row>
    <row r="156" spans="1:13" x14ac:dyDescent="0.25">
      <c r="A156" s="1" t="s">
        <v>358</v>
      </c>
      <c r="B156" s="2">
        <v>46107</v>
      </c>
      <c r="C156" s="1"/>
      <c r="D156" s="1">
        <v>7</v>
      </c>
      <c r="E156" s="7">
        <v>38000</v>
      </c>
      <c r="F156" s="14">
        <f t="shared" si="72"/>
        <v>456000</v>
      </c>
      <c r="G156" s="7">
        <v>646000</v>
      </c>
      <c r="H156" s="10">
        <v>190000</v>
      </c>
      <c r="I156" s="2">
        <f t="shared" si="73"/>
        <v>46142</v>
      </c>
      <c r="J156" s="1">
        <f t="shared" ca="1" si="74"/>
        <v>-7</v>
      </c>
      <c r="K156" s="3" t="str">
        <f t="shared" ca="1" si="75"/>
        <v>VENCIDO</v>
      </c>
      <c r="L156" s="1">
        <f t="shared" si="76"/>
        <v>5</v>
      </c>
      <c r="M156" s="1">
        <f t="shared" si="77"/>
        <v>12</v>
      </c>
    </row>
    <row r="157" spans="1:13" x14ac:dyDescent="0.25">
      <c r="A157" s="1" t="s">
        <v>359</v>
      </c>
      <c r="B157" s="2">
        <v>46108</v>
      </c>
      <c r="C157" s="1"/>
      <c r="D157" s="1">
        <v>7</v>
      </c>
      <c r="E157" s="7">
        <v>28000</v>
      </c>
      <c r="F157" s="14">
        <f t="shared" si="72"/>
        <v>336000</v>
      </c>
      <c r="G157" s="7">
        <v>504000</v>
      </c>
      <c r="H157" s="10">
        <v>168000</v>
      </c>
      <c r="I157" s="2">
        <f t="shared" si="73"/>
        <v>46150</v>
      </c>
      <c r="J157" s="1">
        <f t="shared" ca="1" si="74"/>
        <v>1</v>
      </c>
      <c r="K157" s="3" t="str">
        <f t="shared" ca="1" si="75"/>
        <v>PRÓXIMO</v>
      </c>
      <c r="L157" s="1">
        <f t="shared" si="76"/>
        <v>6</v>
      </c>
      <c r="M157" s="1">
        <f t="shared" si="77"/>
        <v>12</v>
      </c>
    </row>
    <row r="158" spans="1:13" x14ac:dyDescent="0.25">
      <c r="A158" s="1" t="s">
        <v>360</v>
      </c>
      <c r="B158" s="2">
        <v>46108</v>
      </c>
      <c r="C158" s="1"/>
      <c r="D158" s="1">
        <v>7</v>
      </c>
      <c r="E158" s="7">
        <v>28000</v>
      </c>
      <c r="F158" s="14">
        <f t="shared" si="72"/>
        <v>308000</v>
      </c>
      <c r="G158" s="7">
        <v>448000</v>
      </c>
      <c r="H158" s="10">
        <v>140000</v>
      </c>
      <c r="I158" s="2">
        <f t="shared" si="73"/>
        <v>46143</v>
      </c>
      <c r="J158" s="1">
        <f t="shared" ca="1" si="74"/>
        <v>-6</v>
      </c>
      <c r="K158" s="3" t="str">
        <f t="shared" ca="1" si="75"/>
        <v>VENCIDO</v>
      </c>
      <c r="L158" s="1">
        <f t="shared" si="76"/>
        <v>5</v>
      </c>
      <c r="M158" s="1">
        <f t="shared" si="77"/>
        <v>11</v>
      </c>
    </row>
    <row r="159" spans="1:13" x14ac:dyDescent="0.25">
      <c r="A159" s="1" t="s">
        <v>361</v>
      </c>
      <c r="B159" s="2">
        <v>46108</v>
      </c>
      <c r="C159" s="1" t="s">
        <v>13</v>
      </c>
      <c r="D159" s="1">
        <v>7</v>
      </c>
      <c r="E159" s="7">
        <v>115000</v>
      </c>
      <c r="F159" s="14">
        <f t="shared" si="72"/>
        <v>345000</v>
      </c>
      <c r="G159" s="7">
        <v>460000</v>
      </c>
      <c r="H159" s="10">
        <v>115000</v>
      </c>
      <c r="I159" s="2">
        <f t="shared" si="73"/>
        <v>46122</v>
      </c>
      <c r="J159" s="1">
        <f t="shared" ca="1" si="74"/>
        <v>-27</v>
      </c>
      <c r="K159" s="3" t="str">
        <f t="shared" ca="1" si="75"/>
        <v>VENCIDO</v>
      </c>
      <c r="L159" s="1">
        <f t="shared" si="76"/>
        <v>1</v>
      </c>
      <c r="M159" s="1">
        <f t="shared" si="77"/>
        <v>3</v>
      </c>
    </row>
    <row r="160" spans="1:13" x14ac:dyDescent="0.25">
      <c r="A160" s="1" t="s">
        <v>363</v>
      </c>
      <c r="B160" s="2">
        <v>46108</v>
      </c>
      <c r="C160" s="1" t="s">
        <v>13</v>
      </c>
      <c r="D160" s="1">
        <v>7</v>
      </c>
      <c r="E160" s="7">
        <v>200000</v>
      </c>
      <c r="F160" s="14">
        <f t="shared" si="72"/>
        <v>6100000</v>
      </c>
      <c r="G160" s="7">
        <v>7000000</v>
      </c>
      <c r="H160" s="10">
        <v>900000</v>
      </c>
      <c r="I160" s="2">
        <f t="shared" si="73"/>
        <v>46143</v>
      </c>
      <c r="J160" s="1">
        <f t="shared" ca="1" si="74"/>
        <v>-6</v>
      </c>
      <c r="K160" s="3" t="str">
        <f t="shared" ca="1" si="75"/>
        <v>VENCIDO</v>
      </c>
      <c r="L160" s="1">
        <f t="shared" si="76"/>
        <v>4</v>
      </c>
      <c r="M160" s="1">
        <f t="shared" si="77"/>
        <v>31</v>
      </c>
    </row>
    <row r="161" spans="1:13" x14ac:dyDescent="0.25">
      <c r="A161" s="1" t="s">
        <v>366</v>
      </c>
      <c r="B161" s="2">
        <v>46101</v>
      </c>
      <c r="C161" s="1"/>
      <c r="D161" s="1">
        <v>7</v>
      </c>
      <c r="E161" s="7">
        <v>30000</v>
      </c>
      <c r="F161" s="14">
        <f t="shared" si="72"/>
        <v>302000</v>
      </c>
      <c r="G161" s="7">
        <v>510000</v>
      </c>
      <c r="H161" s="10">
        <v>208000</v>
      </c>
      <c r="I161" s="2">
        <f t="shared" si="73"/>
        <v>46143</v>
      </c>
      <c r="J161" s="1">
        <f t="shared" ca="1" si="74"/>
        <v>-6</v>
      </c>
      <c r="K161" s="3" t="str">
        <f t="shared" ca="1" si="75"/>
        <v>VENCIDO</v>
      </c>
      <c r="L161" s="1">
        <f t="shared" si="76"/>
        <v>6</v>
      </c>
      <c r="M161" s="1">
        <f t="shared" si="77"/>
        <v>11</v>
      </c>
    </row>
    <row r="162" spans="1:13" x14ac:dyDescent="0.25">
      <c r="A162" s="1" t="s">
        <v>370</v>
      </c>
      <c r="B162" s="2">
        <v>46112</v>
      </c>
      <c r="C162" s="1"/>
      <c r="D162" s="1">
        <v>7</v>
      </c>
      <c r="E162" s="7">
        <v>16000</v>
      </c>
      <c r="F162" s="14">
        <f t="shared" si="72"/>
        <v>80000</v>
      </c>
      <c r="G162" s="7">
        <v>160000</v>
      </c>
      <c r="H162" s="10">
        <v>80000</v>
      </c>
      <c r="I162" s="2">
        <f t="shared" si="73"/>
        <v>46147</v>
      </c>
      <c r="J162" s="1">
        <f t="shared" ca="1" si="74"/>
        <v>-2</v>
      </c>
      <c r="K162" s="3" t="str">
        <f t="shared" ca="1" si="75"/>
        <v>VENCIDO</v>
      </c>
      <c r="L162" s="1">
        <f t="shared" si="76"/>
        <v>5</v>
      </c>
      <c r="M162" s="1">
        <f t="shared" si="77"/>
        <v>5</v>
      </c>
    </row>
    <row r="163" spans="1:13" x14ac:dyDescent="0.25">
      <c r="A163" s="1" t="s">
        <v>371</v>
      </c>
      <c r="B163" s="2">
        <v>46112</v>
      </c>
      <c r="C163" s="1"/>
      <c r="D163" s="1">
        <v>7</v>
      </c>
      <c r="E163" s="7">
        <v>52000</v>
      </c>
      <c r="F163" s="14">
        <f t="shared" si="72"/>
        <v>676000</v>
      </c>
      <c r="G163" s="7">
        <v>832000</v>
      </c>
      <c r="H163" s="10">
        <v>156000</v>
      </c>
      <c r="I163" s="2">
        <f t="shared" si="73"/>
        <v>46133</v>
      </c>
      <c r="J163" s="1">
        <f t="shared" ca="1" si="74"/>
        <v>-16</v>
      </c>
      <c r="K163" s="3" t="str">
        <f t="shared" ca="1" si="75"/>
        <v>VENCIDO</v>
      </c>
      <c r="L163" s="1">
        <f t="shared" si="76"/>
        <v>3</v>
      </c>
      <c r="M163" s="1">
        <f t="shared" si="77"/>
        <v>13</v>
      </c>
    </row>
    <row r="164" spans="1:13" x14ac:dyDescent="0.25">
      <c r="A164" s="1" t="s">
        <v>372</v>
      </c>
      <c r="B164" s="2">
        <v>46112</v>
      </c>
      <c r="C164" s="1"/>
      <c r="D164" s="1">
        <v>7</v>
      </c>
      <c r="E164" s="7">
        <v>28000</v>
      </c>
      <c r="F164" s="14">
        <f t="shared" si="72"/>
        <v>336000</v>
      </c>
      <c r="G164" s="7">
        <v>476000</v>
      </c>
      <c r="H164" s="10">
        <v>140000</v>
      </c>
      <c r="I164" s="2">
        <f t="shared" si="73"/>
        <v>46147</v>
      </c>
      <c r="J164" s="1">
        <f t="shared" ca="1" si="74"/>
        <v>-2</v>
      </c>
      <c r="K164" s="3" t="str">
        <f t="shared" ca="1" si="75"/>
        <v>VENCIDO</v>
      </c>
      <c r="L164" s="1">
        <f t="shared" si="76"/>
        <v>5</v>
      </c>
      <c r="M164" s="1">
        <f t="shared" si="77"/>
        <v>12</v>
      </c>
    </row>
    <row r="165" spans="1:13" x14ac:dyDescent="0.25">
      <c r="A165" s="1" t="s">
        <v>373</v>
      </c>
      <c r="B165" s="2">
        <v>46112</v>
      </c>
      <c r="C165" s="1"/>
      <c r="D165" s="1">
        <v>7</v>
      </c>
      <c r="E165" s="7">
        <v>35000</v>
      </c>
      <c r="F165" s="14">
        <f t="shared" si="72"/>
        <v>320000</v>
      </c>
      <c r="G165" s="7">
        <v>560000</v>
      </c>
      <c r="H165" s="10">
        <v>240000</v>
      </c>
      <c r="I165" s="2">
        <f t="shared" si="73"/>
        <v>46154</v>
      </c>
      <c r="J165" s="1">
        <f t="shared" ca="1" si="74"/>
        <v>5</v>
      </c>
      <c r="K165" s="3" t="str">
        <f t="shared" ca="1" si="75"/>
        <v>VIGENTE</v>
      </c>
      <c r="L165" s="1">
        <f t="shared" si="76"/>
        <v>6</v>
      </c>
      <c r="M165" s="1">
        <f t="shared" si="77"/>
        <v>10</v>
      </c>
    </row>
    <row r="166" spans="1:13" x14ac:dyDescent="0.25">
      <c r="A166" s="1" t="s">
        <v>374</v>
      </c>
      <c r="B166" s="2">
        <v>46112</v>
      </c>
      <c r="C166" s="1"/>
      <c r="D166" s="1">
        <v>7</v>
      </c>
      <c r="E166" s="7">
        <v>28000</v>
      </c>
      <c r="F166" s="14">
        <f t="shared" si="72"/>
        <v>336000</v>
      </c>
      <c r="G166" s="7">
        <v>476000</v>
      </c>
      <c r="H166" s="10">
        <v>140000</v>
      </c>
      <c r="I166" s="2">
        <f t="shared" si="73"/>
        <v>46147</v>
      </c>
      <c r="J166" s="1">
        <f t="shared" ca="1" si="74"/>
        <v>-2</v>
      </c>
      <c r="K166" s="3" t="str">
        <f t="shared" ca="1" si="75"/>
        <v>VENCIDO</v>
      </c>
      <c r="L166" s="1">
        <f t="shared" si="76"/>
        <v>5</v>
      </c>
      <c r="M166" s="1">
        <f t="shared" si="77"/>
        <v>12</v>
      </c>
    </row>
    <row r="167" spans="1:13" x14ac:dyDescent="0.25">
      <c r="A167" s="1" t="s">
        <v>377</v>
      </c>
      <c r="B167" s="2">
        <v>46112</v>
      </c>
      <c r="C167" s="1" t="s">
        <v>13</v>
      </c>
      <c r="D167" s="1">
        <v>7</v>
      </c>
      <c r="E167" s="7">
        <v>40000</v>
      </c>
      <c r="F167" s="14">
        <f t="shared" si="72"/>
        <v>920000</v>
      </c>
      <c r="G167" s="7">
        <v>1080000</v>
      </c>
      <c r="H167" s="10">
        <v>160000</v>
      </c>
      <c r="I167" s="2">
        <f t="shared" si="73"/>
        <v>46147</v>
      </c>
      <c r="J167" s="1">
        <f t="shared" ca="1" si="74"/>
        <v>-2</v>
      </c>
      <c r="K167" s="3" t="str">
        <f t="shared" ca="1" si="75"/>
        <v>VENCIDO</v>
      </c>
      <c r="L167" s="1">
        <f t="shared" si="76"/>
        <v>4</v>
      </c>
      <c r="M167" s="1">
        <f t="shared" si="77"/>
        <v>23</v>
      </c>
    </row>
    <row r="168" spans="1:13" x14ac:dyDescent="0.25">
      <c r="A168" s="1" t="s">
        <v>380</v>
      </c>
      <c r="B168" s="2">
        <v>46113</v>
      </c>
      <c r="C168" s="1"/>
      <c r="D168" s="1">
        <v>7</v>
      </c>
      <c r="E168" s="7">
        <v>15000</v>
      </c>
      <c r="F168" s="14">
        <f t="shared" si="72"/>
        <v>15000</v>
      </c>
      <c r="G168" s="7">
        <v>90000</v>
      </c>
      <c r="H168" s="10">
        <v>75000</v>
      </c>
      <c r="I168" s="2">
        <f t="shared" si="73"/>
        <v>46148</v>
      </c>
      <c r="J168" s="1">
        <f t="shared" ca="1" si="74"/>
        <v>-1</v>
      </c>
      <c r="K168" s="3" t="str">
        <f t="shared" ca="1" si="75"/>
        <v>VENCIDO</v>
      </c>
      <c r="L168" s="1">
        <f t="shared" si="76"/>
        <v>5</v>
      </c>
      <c r="M168" s="1">
        <f t="shared" si="77"/>
        <v>1</v>
      </c>
    </row>
    <row r="169" spans="1:13" x14ac:dyDescent="0.25">
      <c r="A169" s="1" t="s">
        <v>214</v>
      </c>
      <c r="B169" s="2">
        <v>46113</v>
      </c>
      <c r="C169" s="1" t="s">
        <v>13</v>
      </c>
      <c r="D169" s="1">
        <v>7</v>
      </c>
      <c r="E169" s="7">
        <v>150000</v>
      </c>
      <c r="F169" s="14">
        <f t="shared" si="72"/>
        <v>2250000</v>
      </c>
      <c r="G169" s="7">
        <v>3000000</v>
      </c>
      <c r="H169" s="10">
        <v>750000</v>
      </c>
      <c r="I169" s="2">
        <f t="shared" si="73"/>
        <v>46155</v>
      </c>
      <c r="J169" s="1">
        <f t="shared" ca="1" si="74"/>
        <v>6</v>
      </c>
      <c r="K169" s="3" t="str">
        <f t="shared" ca="1" si="75"/>
        <v>VIGENTE</v>
      </c>
      <c r="L169" s="1">
        <f t="shared" si="76"/>
        <v>5</v>
      </c>
      <c r="M169" s="1">
        <f t="shared" si="77"/>
        <v>15</v>
      </c>
    </row>
    <row r="170" spans="1:13" x14ac:dyDescent="0.25">
      <c r="A170" s="1" t="s">
        <v>386</v>
      </c>
      <c r="B170" s="2">
        <v>46114</v>
      </c>
      <c r="C170" s="1" t="s">
        <v>13</v>
      </c>
      <c r="D170" s="1">
        <v>7</v>
      </c>
      <c r="E170" s="7">
        <v>38000</v>
      </c>
      <c r="F170" s="14">
        <f t="shared" si="72"/>
        <v>228000</v>
      </c>
      <c r="G170" s="7">
        <v>380000</v>
      </c>
      <c r="H170" s="10">
        <v>152000</v>
      </c>
      <c r="I170" s="2">
        <f t="shared" si="73"/>
        <v>46149</v>
      </c>
      <c r="J170" s="1">
        <f t="shared" ca="1" si="74"/>
        <v>0</v>
      </c>
      <c r="K170" s="3" t="str">
        <f t="shared" ca="1" si="75"/>
        <v>PRÓXIMO</v>
      </c>
      <c r="L170" s="1">
        <f t="shared" si="76"/>
        <v>4</v>
      </c>
      <c r="M170" s="1">
        <f t="shared" si="77"/>
        <v>6</v>
      </c>
    </row>
    <row r="171" spans="1:13" x14ac:dyDescent="0.25">
      <c r="A171" s="1" t="s">
        <v>421</v>
      </c>
      <c r="B171" s="2">
        <v>46114</v>
      </c>
      <c r="C171" s="1" t="s">
        <v>13</v>
      </c>
      <c r="D171" s="1">
        <v>7</v>
      </c>
      <c r="E171" s="7">
        <v>100000</v>
      </c>
      <c r="F171" s="14">
        <f t="shared" ref="F171:F212" si="78">G171-H171</f>
        <v>2100000</v>
      </c>
      <c r="G171" s="7">
        <v>2500000</v>
      </c>
      <c r="H171" s="10">
        <v>400000</v>
      </c>
      <c r="I171" s="2">
        <f t="shared" ref="I171:I212" si="79">IF(F171=0,"",IF(C171="CRED",B171+(INT((G171-F171)/E171)+1)*D171,B171+INT((G171-F171)/E171)*D171))</f>
        <v>46149</v>
      </c>
      <c r="J171" s="1">
        <f t="shared" ref="J171:J212" ca="1" si="80">IF(I171="","",I171-TODAY())</f>
        <v>0</v>
      </c>
      <c r="K171" s="3" t="str">
        <f t="shared" ref="K171:K212" ca="1" si="81">IF(J171="","",IF(J171&lt;0,"VENCIDO",IF(J171&lt;=1,"PRÓXIMO","VIGENTE")))</f>
        <v>PRÓXIMO</v>
      </c>
      <c r="L171" s="1">
        <f t="shared" ref="L171:L212" si="82">IF(F171=G171,0,INT((G171-F171)/E171))</f>
        <v>4</v>
      </c>
      <c r="M171" s="1">
        <f t="shared" ref="M171:M212" si="83">IF(F171=0,0,INT(F171/E171)+(IF(MOD(F171,E171)&gt;0,1,0)))</f>
        <v>21</v>
      </c>
    </row>
    <row r="172" spans="1:13" x14ac:dyDescent="0.25">
      <c r="A172" s="1" t="s">
        <v>387</v>
      </c>
      <c r="B172" s="2">
        <v>46115</v>
      </c>
      <c r="C172" s="1" t="s">
        <v>13</v>
      </c>
      <c r="D172" s="1">
        <v>7</v>
      </c>
      <c r="E172" s="7">
        <v>45000</v>
      </c>
      <c r="F172" s="14">
        <f t="shared" si="78"/>
        <v>685500</v>
      </c>
      <c r="G172" s="7">
        <v>810000</v>
      </c>
      <c r="H172" s="10">
        <v>124500</v>
      </c>
      <c r="I172" s="2">
        <f t="shared" si="79"/>
        <v>46136</v>
      </c>
      <c r="J172" s="1">
        <f t="shared" ca="1" si="80"/>
        <v>-13</v>
      </c>
      <c r="K172" s="3" t="str">
        <f t="shared" ca="1" si="81"/>
        <v>VENCIDO</v>
      </c>
      <c r="L172" s="1">
        <f t="shared" si="82"/>
        <v>2</v>
      </c>
      <c r="M172" s="1">
        <f t="shared" si="83"/>
        <v>16</v>
      </c>
    </row>
    <row r="173" spans="1:13" x14ac:dyDescent="0.25">
      <c r="A173" s="1" t="s">
        <v>389</v>
      </c>
      <c r="B173" s="2">
        <v>46115</v>
      </c>
      <c r="C173" s="1"/>
      <c r="D173" s="1">
        <v>7</v>
      </c>
      <c r="E173" s="7">
        <v>24000</v>
      </c>
      <c r="F173" s="14">
        <f t="shared" si="78"/>
        <v>288000</v>
      </c>
      <c r="G173" s="7">
        <v>384000</v>
      </c>
      <c r="H173" s="10">
        <v>96000</v>
      </c>
      <c r="I173" s="2">
        <f t="shared" si="79"/>
        <v>46143</v>
      </c>
      <c r="J173" s="1">
        <f t="shared" ca="1" si="80"/>
        <v>-6</v>
      </c>
      <c r="K173" s="3" t="str">
        <f t="shared" ca="1" si="81"/>
        <v>VENCIDO</v>
      </c>
      <c r="L173" s="1">
        <f t="shared" si="82"/>
        <v>4</v>
      </c>
      <c r="M173" s="1">
        <f t="shared" si="83"/>
        <v>12</v>
      </c>
    </row>
    <row r="174" spans="1:13" x14ac:dyDescent="0.25">
      <c r="A174" s="1" t="s">
        <v>390</v>
      </c>
      <c r="B174" s="2">
        <v>46115</v>
      </c>
      <c r="C174" s="1"/>
      <c r="D174" s="1">
        <v>7</v>
      </c>
      <c r="E174" s="7">
        <v>15000</v>
      </c>
      <c r="F174" s="14">
        <f t="shared" si="78"/>
        <v>45000</v>
      </c>
      <c r="G174" s="7">
        <v>120000</v>
      </c>
      <c r="H174" s="10">
        <v>75000</v>
      </c>
      <c r="I174" s="2">
        <f t="shared" si="79"/>
        <v>46150</v>
      </c>
      <c r="J174" s="1">
        <f t="shared" ca="1" si="80"/>
        <v>1</v>
      </c>
      <c r="K174" s="3" t="str">
        <f t="shared" ca="1" si="81"/>
        <v>PRÓXIMO</v>
      </c>
      <c r="L174" s="1">
        <f t="shared" si="82"/>
        <v>5</v>
      </c>
      <c r="M174" s="1">
        <f t="shared" si="83"/>
        <v>3</v>
      </c>
    </row>
    <row r="175" spans="1:13" x14ac:dyDescent="0.25">
      <c r="A175" s="1" t="s">
        <v>391</v>
      </c>
      <c r="B175" s="2">
        <v>46109</v>
      </c>
      <c r="C175" s="1"/>
      <c r="D175" s="1">
        <v>7</v>
      </c>
      <c r="E175" s="7">
        <v>23000</v>
      </c>
      <c r="F175" s="14">
        <f t="shared" si="78"/>
        <v>92000</v>
      </c>
      <c r="G175" s="7">
        <v>184000</v>
      </c>
      <c r="H175" s="10">
        <v>92000</v>
      </c>
      <c r="I175" s="2">
        <f t="shared" si="79"/>
        <v>46137</v>
      </c>
      <c r="J175" s="1">
        <f t="shared" ca="1" si="80"/>
        <v>-12</v>
      </c>
      <c r="K175" s="3" t="str">
        <f t="shared" ca="1" si="81"/>
        <v>VENCIDO</v>
      </c>
      <c r="L175" s="1">
        <f t="shared" si="82"/>
        <v>4</v>
      </c>
      <c r="M175" s="1">
        <f t="shared" si="83"/>
        <v>4</v>
      </c>
    </row>
    <row r="176" spans="1:13" x14ac:dyDescent="0.25">
      <c r="A176" s="1" t="s">
        <v>206</v>
      </c>
      <c r="B176" s="2">
        <v>46115</v>
      </c>
      <c r="C176" s="1" t="s">
        <v>13</v>
      </c>
      <c r="D176" s="1">
        <v>7</v>
      </c>
      <c r="E176" s="7">
        <v>24000</v>
      </c>
      <c r="F176" s="14">
        <f t="shared" si="78"/>
        <v>97000</v>
      </c>
      <c r="G176" s="7">
        <v>192000</v>
      </c>
      <c r="H176" s="10">
        <v>95000</v>
      </c>
      <c r="I176" s="2">
        <f t="shared" si="79"/>
        <v>46143</v>
      </c>
      <c r="J176" s="1">
        <f t="shared" ca="1" si="80"/>
        <v>-6</v>
      </c>
      <c r="K176" s="3" t="str">
        <f t="shared" ca="1" si="81"/>
        <v>VENCIDO</v>
      </c>
      <c r="L176" s="1">
        <f t="shared" si="82"/>
        <v>3</v>
      </c>
      <c r="M176" s="1">
        <f t="shared" si="83"/>
        <v>5</v>
      </c>
    </row>
    <row r="177" spans="1:13" x14ac:dyDescent="0.25">
      <c r="A177" s="1" t="s">
        <v>393</v>
      </c>
      <c r="B177" s="2">
        <v>46115</v>
      </c>
      <c r="C177" s="1"/>
      <c r="D177" s="1">
        <v>7</v>
      </c>
      <c r="E177" s="7">
        <v>25000</v>
      </c>
      <c r="F177" s="14">
        <f t="shared" si="78"/>
        <v>225000</v>
      </c>
      <c r="G177" s="7">
        <v>325000</v>
      </c>
      <c r="H177" s="10">
        <v>100000</v>
      </c>
      <c r="I177" s="2">
        <f t="shared" si="79"/>
        <v>46143</v>
      </c>
      <c r="J177" s="1">
        <f t="shared" ca="1" si="80"/>
        <v>-6</v>
      </c>
      <c r="K177" s="3" t="str">
        <f t="shared" ca="1" si="81"/>
        <v>VENCIDO</v>
      </c>
      <c r="L177" s="1">
        <f t="shared" si="82"/>
        <v>4</v>
      </c>
      <c r="M177" s="1">
        <f t="shared" si="83"/>
        <v>9</v>
      </c>
    </row>
    <row r="178" spans="1:13" x14ac:dyDescent="0.25">
      <c r="A178" s="1" t="s">
        <v>396</v>
      </c>
      <c r="B178" s="2">
        <v>46116</v>
      </c>
      <c r="C178" s="1"/>
      <c r="D178" s="1">
        <v>7</v>
      </c>
      <c r="E178" s="7">
        <v>61000</v>
      </c>
      <c r="F178" s="14">
        <f t="shared" si="78"/>
        <v>366000</v>
      </c>
      <c r="G178" s="7">
        <v>610000</v>
      </c>
      <c r="H178" s="10">
        <v>244000</v>
      </c>
      <c r="I178" s="2">
        <f t="shared" si="79"/>
        <v>46144</v>
      </c>
      <c r="J178" s="1">
        <f t="shared" ca="1" si="80"/>
        <v>-5</v>
      </c>
      <c r="K178" s="3" t="str">
        <f t="shared" ca="1" si="81"/>
        <v>VENCIDO</v>
      </c>
      <c r="L178" s="1">
        <f t="shared" si="82"/>
        <v>4</v>
      </c>
      <c r="M178" s="1">
        <f t="shared" si="83"/>
        <v>6</v>
      </c>
    </row>
    <row r="179" spans="1:13" x14ac:dyDescent="0.25">
      <c r="A179" s="1" t="s">
        <v>397</v>
      </c>
      <c r="B179" s="2">
        <v>46116</v>
      </c>
      <c r="C179" s="1"/>
      <c r="D179" s="1">
        <v>7</v>
      </c>
      <c r="E179" s="7">
        <v>15000</v>
      </c>
      <c r="F179" s="14">
        <f t="shared" si="78"/>
        <v>60000</v>
      </c>
      <c r="G179" s="7">
        <v>120000</v>
      </c>
      <c r="H179" s="10">
        <v>60000</v>
      </c>
      <c r="I179" s="2">
        <f t="shared" si="79"/>
        <v>46144</v>
      </c>
      <c r="J179" s="1">
        <f t="shared" ca="1" si="80"/>
        <v>-5</v>
      </c>
      <c r="K179" s="3" t="str">
        <f t="shared" ca="1" si="81"/>
        <v>VENCIDO</v>
      </c>
      <c r="L179" s="1">
        <f t="shared" si="82"/>
        <v>4</v>
      </c>
      <c r="M179" s="1">
        <f t="shared" si="83"/>
        <v>4</v>
      </c>
    </row>
    <row r="180" spans="1:13" x14ac:dyDescent="0.25">
      <c r="A180" s="1" t="s">
        <v>400</v>
      </c>
      <c r="B180" s="2">
        <v>46116</v>
      </c>
      <c r="C180" s="1"/>
      <c r="D180" s="1">
        <v>7</v>
      </c>
      <c r="E180" s="7">
        <v>25000</v>
      </c>
      <c r="F180" s="14">
        <f t="shared" si="78"/>
        <v>400000</v>
      </c>
      <c r="G180" s="7">
        <v>500000</v>
      </c>
      <c r="H180" s="10">
        <v>100000</v>
      </c>
      <c r="I180" s="2">
        <f t="shared" si="79"/>
        <v>46144</v>
      </c>
      <c r="J180" s="1">
        <f t="shared" ca="1" si="80"/>
        <v>-5</v>
      </c>
      <c r="K180" s="3" t="str">
        <f t="shared" ca="1" si="81"/>
        <v>VENCIDO</v>
      </c>
      <c r="L180" s="1">
        <f t="shared" si="82"/>
        <v>4</v>
      </c>
      <c r="M180" s="1">
        <f t="shared" si="83"/>
        <v>16</v>
      </c>
    </row>
    <row r="181" spans="1:13" x14ac:dyDescent="0.25">
      <c r="A181" s="1" t="s">
        <v>112</v>
      </c>
      <c r="B181" s="2">
        <v>46116</v>
      </c>
      <c r="C181" s="1" t="s">
        <v>13</v>
      </c>
      <c r="D181" s="1">
        <v>7</v>
      </c>
      <c r="E181" s="7">
        <v>57000</v>
      </c>
      <c r="F181" s="14">
        <f t="shared" si="78"/>
        <v>343000</v>
      </c>
      <c r="G181" s="7">
        <v>570000</v>
      </c>
      <c r="H181" s="10">
        <v>227000</v>
      </c>
      <c r="I181" s="2">
        <f t="shared" si="79"/>
        <v>46144</v>
      </c>
      <c r="J181" s="1">
        <f t="shared" ca="1" si="80"/>
        <v>-5</v>
      </c>
      <c r="K181" s="3" t="str">
        <f t="shared" ca="1" si="81"/>
        <v>VENCIDO</v>
      </c>
      <c r="L181" s="1">
        <f t="shared" si="82"/>
        <v>3</v>
      </c>
      <c r="M181" s="1">
        <f t="shared" si="83"/>
        <v>7</v>
      </c>
    </row>
    <row r="182" spans="1:13" x14ac:dyDescent="0.25">
      <c r="A182" s="1" t="s">
        <v>402</v>
      </c>
      <c r="B182" s="2">
        <v>46116</v>
      </c>
      <c r="C182" s="1"/>
      <c r="D182" s="1">
        <v>7</v>
      </c>
      <c r="E182" s="7">
        <v>90000</v>
      </c>
      <c r="F182" s="14">
        <f t="shared" si="78"/>
        <v>360000</v>
      </c>
      <c r="G182" s="7">
        <v>450000</v>
      </c>
      <c r="H182" s="10">
        <v>90000</v>
      </c>
      <c r="I182" s="2">
        <f t="shared" si="79"/>
        <v>46123</v>
      </c>
      <c r="J182" s="1">
        <f t="shared" ca="1" si="80"/>
        <v>-26</v>
      </c>
      <c r="K182" s="3" t="str">
        <f t="shared" ca="1" si="81"/>
        <v>VENCIDO</v>
      </c>
      <c r="L182" s="1">
        <f t="shared" si="82"/>
        <v>1</v>
      </c>
      <c r="M182" s="1">
        <f t="shared" si="83"/>
        <v>4</v>
      </c>
    </row>
    <row r="183" spans="1:13" x14ac:dyDescent="0.25">
      <c r="A183" s="1" t="s">
        <v>292</v>
      </c>
      <c r="B183" s="2">
        <v>46116</v>
      </c>
      <c r="C183" s="1" t="s">
        <v>13</v>
      </c>
      <c r="D183" s="1">
        <v>7</v>
      </c>
      <c r="E183" s="7">
        <v>24000</v>
      </c>
      <c r="F183" s="14">
        <f t="shared" si="78"/>
        <v>192000</v>
      </c>
      <c r="G183" s="7">
        <v>192000</v>
      </c>
      <c r="H183" s="10"/>
      <c r="I183" s="2">
        <f t="shared" si="79"/>
        <v>46123</v>
      </c>
      <c r="J183" s="1">
        <f t="shared" ca="1" si="80"/>
        <v>-26</v>
      </c>
      <c r="K183" s="3" t="str">
        <f t="shared" ca="1" si="81"/>
        <v>VENCIDO</v>
      </c>
      <c r="L183" s="1">
        <f t="shared" si="82"/>
        <v>0</v>
      </c>
      <c r="M183" s="1">
        <f t="shared" si="83"/>
        <v>8</v>
      </c>
    </row>
    <row r="184" spans="1:13" x14ac:dyDescent="0.25">
      <c r="A184" s="1" t="s">
        <v>404</v>
      </c>
      <c r="B184" s="2">
        <v>46116</v>
      </c>
      <c r="C184" s="1" t="s">
        <v>13</v>
      </c>
      <c r="D184" s="1">
        <v>7</v>
      </c>
      <c r="E184" s="7">
        <v>28500</v>
      </c>
      <c r="F184" s="14">
        <f t="shared" si="78"/>
        <v>85500</v>
      </c>
      <c r="G184" s="7">
        <v>228000</v>
      </c>
      <c r="H184" s="10">
        <v>142500</v>
      </c>
      <c r="I184" s="2">
        <f t="shared" si="79"/>
        <v>46158</v>
      </c>
      <c r="J184" s="1">
        <f t="shared" ca="1" si="80"/>
        <v>9</v>
      </c>
      <c r="K184" s="3" t="str">
        <f t="shared" ca="1" si="81"/>
        <v>VIGENTE</v>
      </c>
      <c r="L184" s="1">
        <f t="shared" si="82"/>
        <v>5</v>
      </c>
      <c r="M184" s="1">
        <f t="shared" si="83"/>
        <v>3</v>
      </c>
    </row>
    <row r="185" spans="1:13" x14ac:dyDescent="0.25">
      <c r="A185" s="1" t="s">
        <v>405</v>
      </c>
      <c r="B185" s="2">
        <v>46116</v>
      </c>
      <c r="C185" s="1" t="s">
        <v>13</v>
      </c>
      <c r="D185" s="1">
        <v>7</v>
      </c>
      <c r="E185" s="7">
        <v>24000</v>
      </c>
      <c r="F185" s="14">
        <f t="shared" si="78"/>
        <v>96000</v>
      </c>
      <c r="G185" s="7">
        <v>192000</v>
      </c>
      <c r="H185" s="10">
        <v>96000</v>
      </c>
      <c r="I185" s="2">
        <f t="shared" si="79"/>
        <v>46151</v>
      </c>
      <c r="J185" s="1">
        <f t="shared" ca="1" si="80"/>
        <v>2</v>
      </c>
      <c r="K185" s="3" t="str">
        <f t="shared" ca="1" si="81"/>
        <v>VIGENTE</v>
      </c>
      <c r="L185" s="1">
        <f t="shared" si="82"/>
        <v>4</v>
      </c>
      <c r="M185" s="1">
        <f t="shared" si="83"/>
        <v>4</v>
      </c>
    </row>
    <row r="186" spans="1:13" x14ac:dyDescent="0.25">
      <c r="A186" s="1" t="s">
        <v>406</v>
      </c>
      <c r="B186" s="2">
        <v>46118</v>
      </c>
      <c r="C186" s="1"/>
      <c r="D186" s="1">
        <v>7</v>
      </c>
      <c r="E186" s="7">
        <v>40000</v>
      </c>
      <c r="F186" s="14">
        <f t="shared" si="78"/>
        <v>720000</v>
      </c>
      <c r="G186" s="7">
        <v>920000</v>
      </c>
      <c r="H186" s="10">
        <v>200000</v>
      </c>
      <c r="I186" s="2">
        <f t="shared" si="79"/>
        <v>46153</v>
      </c>
      <c r="J186" s="1">
        <f t="shared" ca="1" si="80"/>
        <v>4</v>
      </c>
      <c r="K186" s="3" t="str">
        <f t="shared" ca="1" si="81"/>
        <v>VIGENTE</v>
      </c>
      <c r="L186" s="1">
        <f t="shared" si="82"/>
        <v>5</v>
      </c>
      <c r="M186" s="1">
        <f t="shared" si="83"/>
        <v>18</v>
      </c>
    </row>
    <row r="187" spans="1:13" x14ac:dyDescent="0.25">
      <c r="A187" s="1" t="s">
        <v>407</v>
      </c>
      <c r="B187" s="2">
        <v>46118</v>
      </c>
      <c r="C187" s="1"/>
      <c r="D187" s="1">
        <v>7</v>
      </c>
      <c r="E187" s="7">
        <v>40000</v>
      </c>
      <c r="F187" s="14">
        <f t="shared" si="78"/>
        <v>920000</v>
      </c>
      <c r="G187" s="7">
        <v>1120000</v>
      </c>
      <c r="H187" s="10">
        <v>200000</v>
      </c>
      <c r="I187" s="2">
        <f t="shared" si="79"/>
        <v>46153</v>
      </c>
      <c r="J187" s="1">
        <f t="shared" ca="1" si="80"/>
        <v>4</v>
      </c>
      <c r="K187" s="3" t="str">
        <f t="shared" ca="1" si="81"/>
        <v>VIGENTE</v>
      </c>
      <c r="L187" s="1">
        <f t="shared" si="82"/>
        <v>5</v>
      </c>
      <c r="M187" s="1">
        <f t="shared" si="83"/>
        <v>23</v>
      </c>
    </row>
    <row r="188" spans="1:13" x14ac:dyDescent="0.25">
      <c r="A188" s="1" t="s">
        <v>408</v>
      </c>
      <c r="B188" s="2">
        <v>46118</v>
      </c>
      <c r="C188" s="1" t="s">
        <v>13</v>
      </c>
      <c r="D188" s="1">
        <v>10</v>
      </c>
      <c r="E188" s="7">
        <v>24000</v>
      </c>
      <c r="F188" s="14">
        <f t="shared" si="78"/>
        <v>144000</v>
      </c>
      <c r="G188" s="7">
        <v>192000</v>
      </c>
      <c r="H188" s="10">
        <v>48000</v>
      </c>
      <c r="I188" s="2">
        <f t="shared" si="79"/>
        <v>46148</v>
      </c>
      <c r="J188" s="1">
        <f t="shared" ca="1" si="80"/>
        <v>-1</v>
      </c>
      <c r="K188" s="3" t="str">
        <f t="shared" ca="1" si="81"/>
        <v>VENCIDO</v>
      </c>
      <c r="L188" s="1">
        <f t="shared" si="82"/>
        <v>2</v>
      </c>
      <c r="M188" s="1">
        <f t="shared" si="83"/>
        <v>6</v>
      </c>
    </row>
    <row r="189" spans="1:13" x14ac:dyDescent="0.25">
      <c r="A189" s="1" t="s">
        <v>409</v>
      </c>
      <c r="B189" s="2">
        <v>46118</v>
      </c>
      <c r="C189" s="1"/>
      <c r="D189" s="1">
        <v>7</v>
      </c>
      <c r="E189" s="7">
        <v>80000</v>
      </c>
      <c r="F189" s="14">
        <f t="shared" si="78"/>
        <v>80000</v>
      </c>
      <c r="G189" s="7">
        <v>240000</v>
      </c>
      <c r="H189" s="10">
        <v>160000</v>
      </c>
      <c r="I189" s="2">
        <f t="shared" si="79"/>
        <v>46132</v>
      </c>
      <c r="J189" s="1">
        <f t="shared" ca="1" si="80"/>
        <v>-17</v>
      </c>
      <c r="K189" s="3" t="str">
        <f t="shared" ca="1" si="81"/>
        <v>VENCIDO</v>
      </c>
      <c r="L189" s="1">
        <f t="shared" si="82"/>
        <v>2</v>
      </c>
      <c r="M189" s="1">
        <f t="shared" si="83"/>
        <v>1</v>
      </c>
    </row>
    <row r="190" spans="1:13" x14ac:dyDescent="0.25">
      <c r="A190" s="1" t="s">
        <v>410</v>
      </c>
      <c r="B190" s="2">
        <v>46119</v>
      </c>
      <c r="C190" s="1" t="s">
        <v>13</v>
      </c>
      <c r="D190" s="1">
        <v>7</v>
      </c>
      <c r="E190" s="7">
        <v>38000</v>
      </c>
      <c r="F190" s="14">
        <f t="shared" si="78"/>
        <v>266000</v>
      </c>
      <c r="G190" s="7">
        <v>380000</v>
      </c>
      <c r="H190" s="10">
        <v>114000</v>
      </c>
      <c r="I190" s="2">
        <f t="shared" si="79"/>
        <v>46147</v>
      </c>
      <c r="J190" s="1">
        <f t="shared" ca="1" si="80"/>
        <v>-2</v>
      </c>
      <c r="K190" s="3" t="str">
        <f t="shared" ca="1" si="81"/>
        <v>VENCIDO</v>
      </c>
      <c r="L190" s="1">
        <f t="shared" si="82"/>
        <v>3</v>
      </c>
      <c r="M190" s="1">
        <f t="shared" si="83"/>
        <v>7</v>
      </c>
    </row>
    <row r="191" spans="1:13" x14ac:dyDescent="0.25">
      <c r="A191" s="1" t="s">
        <v>412</v>
      </c>
      <c r="B191" s="2">
        <v>46119</v>
      </c>
      <c r="C191" s="1"/>
      <c r="D191" s="1">
        <v>7</v>
      </c>
      <c r="E191" s="7">
        <v>28000</v>
      </c>
      <c r="F191" s="14">
        <f t="shared" si="78"/>
        <v>392000</v>
      </c>
      <c r="G191" s="7">
        <v>504000</v>
      </c>
      <c r="H191" s="10">
        <v>112000</v>
      </c>
      <c r="I191" s="2">
        <f t="shared" si="79"/>
        <v>46147</v>
      </c>
      <c r="J191" s="1">
        <f t="shared" ca="1" si="80"/>
        <v>-2</v>
      </c>
      <c r="K191" s="3" t="str">
        <f t="shared" ca="1" si="81"/>
        <v>VENCIDO</v>
      </c>
      <c r="L191" s="1">
        <f t="shared" si="82"/>
        <v>4</v>
      </c>
      <c r="M191" s="1">
        <f t="shared" si="83"/>
        <v>14</v>
      </c>
    </row>
    <row r="192" spans="1:13" x14ac:dyDescent="0.25">
      <c r="A192" s="1" t="s">
        <v>415</v>
      </c>
      <c r="B192" s="2">
        <v>46120</v>
      </c>
      <c r="C192" s="1"/>
      <c r="D192" s="1">
        <v>7</v>
      </c>
      <c r="E192" s="7">
        <v>39000</v>
      </c>
      <c r="F192" s="14">
        <f t="shared" si="78"/>
        <v>622000</v>
      </c>
      <c r="G192" s="7">
        <v>780000</v>
      </c>
      <c r="H192" s="10">
        <v>158000</v>
      </c>
      <c r="I192" s="2">
        <f t="shared" si="79"/>
        <v>46148</v>
      </c>
      <c r="J192" s="1">
        <f t="shared" ca="1" si="80"/>
        <v>-1</v>
      </c>
      <c r="K192" s="3" t="str">
        <f t="shared" ca="1" si="81"/>
        <v>VENCIDO</v>
      </c>
      <c r="L192" s="1">
        <f t="shared" si="82"/>
        <v>4</v>
      </c>
      <c r="M192" s="1">
        <f t="shared" si="83"/>
        <v>16</v>
      </c>
    </row>
    <row r="193" spans="1:13" x14ac:dyDescent="0.25">
      <c r="A193" s="1" t="s">
        <v>416</v>
      </c>
      <c r="B193" s="2">
        <v>46120</v>
      </c>
      <c r="C193" s="1" t="s">
        <v>13</v>
      </c>
      <c r="D193" s="1">
        <v>7</v>
      </c>
      <c r="E193" s="7">
        <v>29000</v>
      </c>
      <c r="F193" s="14">
        <f t="shared" si="78"/>
        <v>174000</v>
      </c>
      <c r="G193" s="7">
        <v>290000</v>
      </c>
      <c r="H193" s="10">
        <v>116000</v>
      </c>
      <c r="I193" s="2">
        <f t="shared" si="79"/>
        <v>46155</v>
      </c>
      <c r="J193" s="1">
        <f t="shared" ca="1" si="80"/>
        <v>6</v>
      </c>
      <c r="K193" s="3" t="str">
        <f t="shared" ca="1" si="81"/>
        <v>VIGENTE</v>
      </c>
      <c r="L193" s="1">
        <f t="shared" si="82"/>
        <v>4</v>
      </c>
      <c r="M193" s="1">
        <f t="shared" si="83"/>
        <v>6</v>
      </c>
    </row>
    <row r="194" spans="1:13" x14ac:dyDescent="0.25">
      <c r="A194" s="1" t="s">
        <v>417</v>
      </c>
      <c r="B194" s="2">
        <v>46120</v>
      </c>
      <c r="C194" s="1" t="s">
        <v>13</v>
      </c>
      <c r="D194" s="1">
        <v>7</v>
      </c>
      <c r="E194" s="7">
        <v>38000</v>
      </c>
      <c r="F194" s="14">
        <f t="shared" si="78"/>
        <v>304000</v>
      </c>
      <c r="G194" s="7">
        <v>380000</v>
      </c>
      <c r="H194" s="10">
        <v>76000</v>
      </c>
      <c r="I194" s="2">
        <f t="shared" si="79"/>
        <v>46141</v>
      </c>
      <c r="J194" s="1">
        <f t="shared" ca="1" si="80"/>
        <v>-8</v>
      </c>
      <c r="K194" s="3" t="str">
        <f t="shared" ca="1" si="81"/>
        <v>VENCIDO</v>
      </c>
      <c r="L194" s="1">
        <f t="shared" si="82"/>
        <v>2</v>
      </c>
      <c r="M194" s="1">
        <f t="shared" si="83"/>
        <v>8</v>
      </c>
    </row>
    <row r="195" spans="1:13" x14ac:dyDescent="0.25">
      <c r="A195" s="1" t="s">
        <v>418</v>
      </c>
      <c r="B195" s="2">
        <v>46120</v>
      </c>
      <c r="C195" s="1"/>
      <c r="D195" s="1">
        <v>7</v>
      </c>
      <c r="E195" s="7">
        <v>37000</v>
      </c>
      <c r="F195" s="14">
        <f t="shared" si="78"/>
        <v>555000</v>
      </c>
      <c r="G195" s="7">
        <v>740000</v>
      </c>
      <c r="H195" s="10">
        <v>185000</v>
      </c>
      <c r="I195" s="2">
        <f t="shared" si="79"/>
        <v>46155</v>
      </c>
      <c r="J195" s="1">
        <f t="shared" ca="1" si="80"/>
        <v>6</v>
      </c>
      <c r="K195" s="3" t="str">
        <f t="shared" ca="1" si="81"/>
        <v>VIGENTE</v>
      </c>
      <c r="L195" s="1">
        <f t="shared" si="82"/>
        <v>5</v>
      </c>
      <c r="M195" s="1">
        <f t="shared" si="83"/>
        <v>15</v>
      </c>
    </row>
    <row r="196" spans="1:13" x14ac:dyDescent="0.25">
      <c r="A196" s="1" t="s">
        <v>424</v>
      </c>
      <c r="B196" s="2">
        <v>46121</v>
      </c>
      <c r="C196" s="1"/>
      <c r="D196" s="1">
        <v>7</v>
      </c>
      <c r="E196" s="7">
        <v>36000</v>
      </c>
      <c r="F196" s="14">
        <f t="shared" si="78"/>
        <v>180000</v>
      </c>
      <c r="G196" s="7">
        <v>360000</v>
      </c>
      <c r="H196" s="10">
        <v>180000</v>
      </c>
      <c r="I196" s="2">
        <f t="shared" si="79"/>
        <v>46156</v>
      </c>
      <c r="J196" s="1">
        <f t="shared" ca="1" si="80"/>
        <v>7</v>
      </c>
      <c r="K196" s="3" t="str">
        <f t="shared" ca="1" si="81"/>
        <v>VIGENTE</v>
      </c>
      <c r="L196" s="1">
        <f t="shared" si="82"/>
        <v>5</v>
      </c>
      <c r="M196" s="1">
        <f t="shared" si="83"/>
        <v>5</v>
      </c>
    </row>
    <row r="197" spans="1:13" x14ac:dyDescent="0.25">
      <c r="A197" s="1" t="s">
        <v>430</v>
      </c>
      <c r="B197" s="2">
        <v>46123</v>
      </c>
      <c r="C197" s="1" t="s">
        <v>13</v>
      </c>
      <c r="D197" s="1">
        <v>7</v>
      </c>
      <c r="E197" s="7">
        <v>35000</v>
      </c>
      <c r="F197" s="14">
        <f t="shared" si="78"/>
        <v>420000</v>
      </c>
      <c r="G197" s="7">
        <v>490000</v>
      </c>
      <c r="H197" s="10">
        <v>70000</v>
      </c>
      <c r="I197" s="2">
        <f t="shared" si="79"/>
        <v>46144</v>
      </c>
      <c r="J197" s="1">
        <f t="shared" ca="1" si="80"/>
        <v>-5</v>
      </c>
      <c r="K197" s="3" t="str">
        <f t="shared" ca="1" si="81"/>
        <v>VENCIDO</v>
      </c>
      <c r="L197" s="1">
        <f t="shared" si="82"/>
        <v>2</v>
      </c>
      <c r="M197" s="1">
        <f t="shared" si="83"/>
        <v>12</v>
      </c>
    </row>
    <row r="198" spans="1:13" x14ac:dyDescent="0.25">
      <c r="A198" s="1" t="s">
        <v>429</v>
      </c>
      <c r="B198" s="2">
        <v>46123</v>
      </c>
      <c r="C198" s="1"/>
      <c r="D198" s="1">
        <v>30</v>
      </c>
      <c r="E198" s="7">
        <v>60000</v>
      </c>
      <c r="F198" s="14">
        <f t="shared" si="78"/>
        <v>420000</v>
      </c>
      <c r="G198" s="7">
        <v>480000</v>
      </c>
      <c r="H198" s="10">
        <v>60000</v>
      </c>
      <c r="I198" s="2">
        <f t="shared" si="79"/>
        <v>46153</v>
      </c>
      <c r="J198" s="1">
        <f t="shared" ca="1" si="80"/>
        <v>4</v>
      </c>
      <c r="K198" s="3" t="str">
        <f t="shared" ca="1" si="81"/>
        <v>VIGENTE</v>
      </c>
      <c r="L198" s="1">
        <f t="shared" si="82"/>
        <v>1</v>
      </c>
      <c r="M198" s="1">
        <f t="shared" si="83"/>
        <v>7</v>
      </c>
    </row>
    <row r="199" spans="1:13" x14ac:dyDescent="0.25">
      <c r="A199" s="1" t="s">
        <v>437</v>
      </c>
      <c r="B199" s="2">
        <v>46123</v>
      </c>
      <c r="C199" s="1"/>
      <c r="D199" s="1">
        <v>7</v>
      </c>
      <c r="E199" s="7">
        <v>40000</v>
      </c>
      <c r="F199" s="14">
        <f t="shared" si="78"/>
        <v>960000</v>
      </c>
      <c r="G199" s="7">
        <v>1080000</v>
      </c>
      <c r="H199" s="10">
        <v>120000</v>
      </c>
      <c r="I199" s="2">
        <f t="shared" si="79"/>
        <v>46144</v>
      </c>
      <c r="J199" s="1">
        <f t="shared" ca="1" si="80"/>
        <v>-5</v>
      </c>
      <c r="K199" s="3" t="str">
        <f t="shared" ca="1" si="81"/>
        <v>VENCIDO</v>
      </c>
      <c r="L199" s="1">
        <f t="shared" si="82"/>
        <v>3</v>
      </c>
      <c r="M199" s="1">
        <f t="shared" si="83"/>
        <v>24</v>
      </c>
    </row>
    <row r="200" spans="1:13" x14ac:dyDescent="0.25">
      <c r="A200" s="1" t="s">
        <v>438</v>
      </c>
      <c r="B200" s="2">
        <v>46116</v>
      </c>
      <c r="C200" s="1" t="s">
        <v>13</v>
      </c>
      <c r="D200" s="1">
        <v>7</v>
      </c>
      <c r="E200" s="7">
        <v>60000</v>
      </c>
      <c r="F200" s="14">
        <f t="shared" si="78"/>
        <v>900000</v>
      </c>
      <c r="G200" s="7">
        <v>1080000</v>
      </c>
      <c r="H200" s="10">
        <v>180000</v>
      </c>
      <c r="I200" s="2">
        <f t="shared" si="79"/>
        <v>46144</v>
      </c>
      <c r="J200" s="1">
        <f t="shared" ca="1" si="80"/>
        <v>-5</v>
      </c>
      <c r="K200" s="3" t="str">
        <f t="shared" ca="1" si="81"/>
        <v>VENCIDO</v>
      </c>
      <c r="L200" s="1">
        <f t="shared" si="82"/>
        <v>3</v>
      </c>
      <c r="M200" s="1">
        <f t="shared" si="83"/>
        <v>15</v>
      </c>
    </row>
    <row r="201" spans="1:13" x14ac:dyDescent="0.25">
      <c r="A201" s="1" t="s">
        <v>439</v>
      </c>
      <c r="B201" s="2">
        <v>46123</v>
      </c>
      <c r="C201" s="1" t="s">
        <v>13</v>
      </c>
      <c r="D201" s="1">
        <v>7</v>
      </c>
      <c r="E201" s="7">
        <v>48000</v>
      </c>
      <c r="F201" s="14">
        <f t="shared" si="78"/>
        <v>336000</v>
      </c>
      <c r="G201" s="7">
        <v>480000</v>
      </c>
      <c r="H201" s="10">
        <v>144000</v>
      </c>
      <c r="I201" s="2">
        <f t="shared" si="79"/>
        <v>46151</v>
      </c>
      <c r="J201" s="1">
        <f t="shared" ca="1" si="80"/>
        <v>2</v>
      </c>
      <c r="K201" s="3" t="str">
        <f t="shared" ca="1" si="81"/>
        <v>VIGENTE</v>
      </c>
      <c r="L201" s="1">
        <f t="shared" si="82"/>
        <v>3</v>
      </c>
      <c r="M201" s="1">
        <f t="shared" si="83"/>
        <v>7</v>
      </c>
    </row>
    <row r="202" spans="1:13" x14ac:dyDescent="0.25">
      <c r="A202" s="1" t="s">
        <v>440</v>
      </c>
      <c r="B202" s="2">
        <v>46123</v>
      </c>
      <c r="C202" s="1"/>
      <c r="D202" s="1">
        <v>7</v>
      </c>
      <c r="E202" s="7">
        <v>73500</v>
      </c>
      <c r="F202" s="14">
        <f t="shared" si="78"/>
        <v>73500</v>
      </c>
      <c r="G202" s="7">
        <v>73500</v>
      </c>
      <c r="H202" s="10"/>
      <c r="I202" s="2">
        <f t="shared" si="79"/>
        <v>46123</v>
      </c>
      <c r="J202" s="1">
        <f t="shared" ca="1" si="80"/>
        <v>-26</v>
      </c>
      <c r="K202" s="3" t="str">
        <f t="shared" ca="1" si="81"/>
        <v>VENCIDO</v>
      </c>
      <c r="L202" s="1">
        <f t="shared" si="82"/>
        <v>0</v>
      </c>
      <c r="M202" s="1">
        <f t="shared" si="83"/>
        <v>1</v>
      </c>
    </row>
    <row r="203" spans="1:13" x14ac:dyDescent="0.25">
      <c r="A203" s="1" t="s">
        <v>441</v>
      </c>
      <c r="B203" s="2">
        <v>46123</v>
      </c>
      <c r="C203" s="1"/>
      <c r="D203" s="1">
        <v>7</v>
      </c>
      <c r="E203" s="7">
        <v>23000</v>
      </c>
      <c r="F203" s="14">
        <f t="shared" si="78"/>
        <v>184000</v>
      </c>
      <c r="G203" s="7">
        <v>230000</v>
      </c>
      <c r="H203" s="10">
        <v>46000</v>
      </c>
      <c r="I203" s="2">
        <f t="shared" si="79"/>
        <v>46137</v>
      </c>
      <c r="J203" s="1">
        <f t="shared" ca="1" si="80"/>
        <v>-12</v>
      </c>
      <c r="K203" s="3" t="str">
        <f t="shared" ca="1" si="81"/>
        <v>VENCIDO</v>
      </c>
      <c r="L203" s="1">
        <f t="shared" si="82"/>
        <v>2</v>
      </c>
      <c r="M203" s="1">
        <f t="shared" si="83"/>
        <v>8</v>
      </c>
    </row>
    <row r="204" spans="1:13" x14ac:dyDescent="0.25">
      <c r="A204" s="1" t="s">
        <v>212</v>
      </c>
      <c r="B204" s="2">
        <v>46123</v>
      </c>
      <c r="C204" s="1" t="s">
        <v>13</v>
      </c>
      <c r="D204" s="1">
        <v>7</v>
      </c>
      <c r="E204" s="7">
        <v>28500</v>
      </c>
      <c r="F204" s="14">
        <f t="shared" si="78"/>
        <v>256500</v>
      </c>
      <c r="G204" s="7">
        <v>285000</v>
      </c>
      <c r="H204" s="10">
        <v>28500</v>
      </c>
      <c r="I204" s="2">
        <f t="shared" si="79"/>
        <v>46137</v>
      </c>
      <c r="J204" s="1">
        <f t="shared" ca="1" si="80"/>
        <v>-12</v>
      </c>
      <c r="K204" s="3" t="str">
        <f t="shared" ca="1" si="81"/>
        <v>VENCIDO</v>
      </c>
      <c r="L204" s="1">
        <f t="shared" si="82"/>
        <v>1</v>
      </c>
      <c r="M204" s="1">
        <f t="shared" si="83"/>
        <v>9</v>
      </c>
    </row>
    <row r="205" spans="1:13" x14ac:dyDescent="0.25">
      <c r="A205" s="1" t="s">
        <v>444</v>
      </c>
      <c r="B205" s="2">
        <v>46126</v>
      </c>
      <c r="C205" s="1"/>
      <c r="D205" s="1">
        <v>7</v>
      </c>
      <c r="E205" s="7">
        <v>25000</v>
      </c>
      <c r="F205" s="14">
        <f t="shared" si="78"/>
        <v>275000</v>
      </c>
      <c r="G205" s="7">
        <v>350000</v>
      </c>
      <c r="H205" s="10">
        <v>75000</v>
      </c>
      <c r="I205" s="2">
        <f t="shared" si="79"/>
        <v>46147</v>
      </c>
      <c r="J205" s="1">
        <f t="shared" ca="1" si="80"/>
        <v>-2</v>
      </c>
      <c r="K205" s="3" t="str">
        <f t="shared" ca="1" si="81"/>
        <v>VENCIDO</v>
      </c>
      <c r="L205" s="1">
        <f t="shared" si="82"/>
        <v>3</v>
      </c>
      <c r="M205" s="1">
        <f t="shared" si="83"/>
        <v>11</v>
      </c>
    </row>
    <row r="206" spans="1:13" x14ac:dyDescent="0.25">
      <c r="A206" s="1" t="s">
        <v>449</v>
      </c>
      <c r="B206" s="2">
        <v>46126</v>
      </c>
      <c r="C206" s="1"/>
      <c r="D206" s="1">
        <v>7</v>
      </c>
      <c r="E206" s="7">
        <v>28000</v>
      </c>
      <c r="F206" s="14">
        <f t="shared" si="78"/>
        <v>280000</v>
      </c>
      <c r="G206" s="7">
        <v>392000</v>
      </c>
      <c r="H206" s="10">
        <v>112000</v>
      </c>
      <c r="I206" s="2">
        <f t="shared" si="79"/>
        <v>46154</v>
      </c>
      <c r="J206" s="1">
        <f t="shared" ca="1" si="80"/>
        <v>5</v>
      </c>
      <c r="K206" s="3" t="str">
        <f t="shared" ca="1" si="81"/>
        <v>VIGENTE</v>
      </c>
      <c r="L206" s="1">
        <f t="shared" si="82"/>
        <v>4</v>
      </c>
      <c r="M206" s="1">
        <f t="shared" si="83"/>
        <v>10</v>
      </c>
    </row>
    <row r="207" spans="1:13" x14ac:dyDescent="0.25">
      <c r="A207" s="1" t="s">
        <v>451</v>
      </c>
      <c r="B207" s="2">
        <v>46127</v>
      </c>
      <c r="C207" s="1"/>
      <c r="D207" s="1">
        <v>7</v>
      </c>
      <c r="E207" s="7">
        <v>25000</v>
      </c>
      <c r="F207" s="14">
        <f t="shared" si="78"/>
        <v>250000</v>
      </c>
      <c r="G207" s="7">
        <v>325000</v>
      </c>
      <c r="H207" s="10">
        <v>75000</v>
      </c>
      <c r="I207" s="2">
        <f t="shared" si="79"/>
        <v>46148</v>
      </c>
      <c r="J207" s="1">
        <f t="shared" ca="1" si="80"/>
        <v>-1</v>
      </c>
      <c r="K207" s="3" t="str">
        <f t="shared" ca="1" si="81"/>
        <v>VENCIDO</v>
      </c>
      <c r="L207" s="1">
        <f t="shared" si="82"/>
        <v>3</v>
      </c>
      <c r="M207" s="1">
        <f t="shared" si="83"/>
        <v>10</v>
      </c>
    </row>
    <row r="208" spans="1:13" x14ac:dyDescent="0.25">
      <c r="A208" s="1" t="s">
        <v>453</v>
      </c>
      <c r="B208" s="2">
        <v>46127</v>
      </c>
      <c r="C208" s="1" t="s">
        <v>13</v>
      </c>
      <c r="D208" s="1">
        <v>7</v>
      </c>
      <c r="E208" s="7">
        <v>38000</v>
      </c>
      <c r="F208" s="14">
        <f t="shared" si="78"/>
        <v>304000</v>
      </c>
      <c r="G208" s="7">
        <v>380000</v>
      </c>
      <c r="H208" s="10">
        <v>76000</v>
      </c>
      <c r="I208" s="2">
        <f t="shared" si="79"/>
        <v>46148</v>
      </c>
      <c r="J208" s="1">
        <f t="shared" ca="1" si="80"/>
        <v>-1</v>
      </c>
      <c r="K208" s="3" t="str">
        <f t="shared" ca="1" si="81"/>
        <v>VENCIDO</v>
      </c>
      <c r="L208" s="1">
        <f t="shared" si="82"/>
        <v>2</v>
      </c>
      <c r="M208" s="1">
        <f t="shared" si="83"/>
        <v>8</v>
      </c>
    </row>
    <row r="209" spans="1:13" x14ac:dyDescent="0.25">
      <c r="A209" s="1" t="s">
        <v>454</v>
      </c>
      <c r="B209" s="2">
        <v>46127</v>
      </c>
      <c r="C209" s="1"/>
      <c r="D209" s="1">
        <v>7</v>
      </c>
      <c r="E209" s="7">
        <v>20000</v>
      </c>
      <c r="F209" s="14">
        <f t="shared" si="78"/>
        <v>160000</v>
      </c>
      <c r="G209" s="7">
        <v>160000</v>
      </c>
      <c r="H209" s="10"/>
      <c r="I209" s="2">
        <f t="shared" si="79"/>
        <v>46127</v>
      </c>
      <c r="J209" s="1">
        <f t="shared" ca="1" si="80"/>
        <v>-22</v>
      </c>
      <c r="K209" s="3" t="str">
        <f t="shared" ca="1" si="81"/>
        <v>VENCIDO</v>
      </c>
      <c r="L209" s="1">
        <f t="shared" si="82"/>
        <v>0</v>
      </c>
      <c r="M209" s="1">
        <f t="shared" si="83"/>
        <v>8</v>
      </c>
    </row>
    <row r="210" spans="1:13" x14ac:dyDescent="0.25">
      <c r="A210" s="1" t="s">
        <v>460</v>
      </c>
      <c r="B210" s="2">
        <v>46127</v>
      </c>
      <c r="C210" s="1"/>
      <c r="D210" s="1">
        <v>7</v>
      </c>
      <c r="E210" s="7">
        <v>44000</v>
      </c>
      <c r="F210" s="14">
        <f t="shared" si="78"/>
        <v>1232000</v>
      </c>
      <c r="G210" s="7">
        <v>1320000</v>
      </c>
      <c r="H210" s="10">
        <v>88000</v>
      </c>
      <c r="I210" s="2">
        <f t="shared" si="79"/>
        <v>46141</v>
      </c>
      <c r="J210" s="1">
        <f t="shared" ca="1" si="80"/>
        <v>-8</v>
      </c>
      <c r="K210" s="3" t="str">
        <f t="shared" ca="1" si="81"/>
        <v>VENCIDO</v>
      </c>
      <c r="L210" s="1">
        <f t="shared" si="82"/>
        <v>2</v>
      </c>
      <c r="M210" s="1">
        <f t="shared" si="83"/>
        <v>28</v>
      </c>
    </row>
    <row r="211" spans="1:13" x14ac:dyDescent="0.25">
      <c r="A211" s="1" t="s">
        <v>461</v>
      </c>
      <c r="B211" s="2">
        <v>46128</v>
      </c>
      <c r="C211" s="1"/>
      <c r="D211" s="1">
        <v>7</v>
      </c>
      <c r="E211" s="7">
        <v>40000</v>
      </c>
      <c r="F211" s="14">
        <f t="shared" si="78"/>
        <v>1000000</v>
      </c>
      <c r="G211" s="7">
        <v>1120000</v>
      </c>
      <c r="H211" s="10">
        <v>120000</v>
      </c>
      <c r="I211" s="2">
        <f t="shared" si="79"/>
        <v>46149</v>
      </c>
      <c r="J211" s="1">
        <f t="shared" ca="1" si="80"/>
        <v>0</v>
      </c>
      <c r="K211" s="3" t="str">
        <f t="shared" ca="1" si="81"/>
        <v>PRÓXIMO</v>
      </c>
      <c r="L211" s="1">
        <f t="shared" si="82"/>
        <v>3</v>
      </c>
      <c r="M211" s="1">
        <f t="shared" si="83"/>
        <v>25</v>
      </c>
    </row>
    <row r="212" spans="1:13" x14ac:dyDescent="0.25">
      <c r="A212" s="1" t="s">
        <v>463</v>
      </c>
      <c r="B212" s="2">
        <v>46129</v>
      </c>
      <c r="C212" s="1" t="s">
        <v>13</v>
      </c>
      <c r="D212" s="1">
        <v>7</v>
      </c>
      <c r="E212" s="7">
        <v>24000</v>
      </c>
      <c r="F212" s="14">
        <f t="shared" si="78"/>
        <v>144000</v>
      </c>
      <c r="G212" s="7">
        <v>192000</v>
      </c>
      <c r="H212" s="10">
        <v>48000</v>
      </c>
      <c r="I212" s="2">
        <f t="shared" si="79"/>
        <v>46150</v>
      </c>
      <c r="J212" s="1">
        <f t="shared" ca="1" si="80"/>
        <v>1</v>
      </c>
      <c r="K212" s="3" t="str">
        <f t="shared" ca="1" si="81"/>
        <v>PRÓXIMO</v>
      </c>
      <c r="L212" s="1">
        <f t="shared" si="82"/>
        <v>2</v>
      </c>
      <c r="M212" s="1">
        <f t="shared" si="83"/>
        <v>6</v>
      </c>
    </row>
    <row r="213" spans="1:13" x14ac:dyDescent="0.25">
      <c r="A213" s="1" t="s">
        <v>512</v>
      </c>
      <c r="B213" s="2">
        <v>46129</v>
      </c>
      <c r="C213" s="1"/>
      <c r="D213" s="1">
        <v>7</v>
      </c>
      <c r="E213" s="7">
        <v>25000</v>
      </c>
      <c r="F213" s="14">
        <f t="shared" ref="F213:F272" si="84">G213-H213</f>
        <v>225000</v>
      </c>
      <c r="G213" s="7">
        <v>300000</v>
      </c>
      <c r="H213" s="10">
        <v>75000</v>
      </c>
      <c r="I213" s="2">
        <f t="shared" ref="I213:I272" si="85">IF(F213=0,"",IF(C213="CRED",B213+(INT((G213-F213)/E213)+1)*D213,B213+INT((G213-F213)/E213)*D213))</f>
        <v>46150</v>
      </c>
      <c r="J213" s="1">
        <f t="shared" ref="J213:J272" ca="1" si="86">IF(I213="","",I213-TODAY())</f>
        <v>1</v>
      </c>
      <c r="K213" s="3" t="str">
        <f t="shared" ref="K213:K272" ca="1" si="87">IF(J213="","",IF(J213&lt;0,"VENCIDO",IF(J213&lt;=1,"PRÓXIMO","VIGENTE")))</f>
        <v>PRÓXIMO</v>
      </c>
      <c r="L213" s="1">
        <f t="shared" ref="L213:L272" si="88">IF(F213=G213,0,INT((G213-F213)/E213))</f>
        <v>3</v>
      </c>
      <c r="M213" s="1">
        <f t="shared" ref="M213:M272" si="89">IF(F213=0,0,INT(F213/E213)+(IF(MOD(F213,E213)&gt;0,1,0)))</f>
        <v>9</v>
      </c>
    </row>
    <row r="214" spans="1:13" x14ac:dyDescent="0.25">
      <c r="A214" s="1" t="s">
        <v>467</v>
      </c>
      <c r="B214" s="2">
        <v>46129</v>
      </c>
      <c r="C214" s="1" t="s">
        <v>13</v>
      </c>
      <c r="D214" s="1">
        <v>7</v>
      </c>
      <c r="E214" s="7">
        <v>70000</v>
      </c>
      <c r="F214" s="14">
        <f t="shared" si="84"/>
        <v>1050000</v>
      </c>
      <c r="G214" s="7">
        <v>1190000</v>
      </c>
      <c r="H214" s="10">
        <v>140000</v>
      </c>
      <c r="I214" s="2">
        <f t="shared" si="85"/>
        <v>46150</v>
      </c>
      <c r="J214" s="1">
        <f t="shared" ca="1" si="86"/>
        <v>1</v>
      </c>
      <c r="K214" s="3" t="str">
        <f t="shared" ca="1" si="87"/>
        <v>PRÓXIMO</v>
      </c>
      <c r="L214" s="1">
        <f t="shared" si="88"/>
        <v>2</v>
      </c>
      <c r="M214" s="1">
        <f t="shared" si="89"/>
        <v>15</v>
      </c>
    </row>
    <row r="215" spans="1:13" x14ac:dyDescent="0.25">
      <c r="A215" s="1" t="s">
        <v>470</v>
      </c>
      <c r="B215" s="2">
        <v>46129</v>
      </c>
      <c r="C215" s="1" t="s">
        <v>13</v>
      </c>
      <c r="D215" s="1">
        <v>7</v>
      </c>
      <c r="E215" s="7">
        <v>114000</v>
      </c>
      <c r="F215" s="14">
        <f t="shared" si="84"/>
        <v>570000</v>
      </c>
      <c r="G215" s="7">
        <v>570000</v>
      </c>
      <c r="H215" s="10"/>
      <c r="I215" s="2">
        <f t="shared" si="85"/>
        <v>46136</v>
      </c>
      <c r="J215" s="1">
        <f t="shared" ca="1" si="86"/>
        <v>-13</v>
      </c>
      <c r="K215" s="3" t="str">
        <f t="shared" ca="1" si="87"/>
        <v>VENCIDO</v>
      </c>
      <c r="L215" s="1">
        <f t="shared" si="88"/>
        <v>0</v>
      </c>
      <c r="M215" s="1">
        <f t="shared" si="89"/>
        <v>5</v>
      </c>
    </row>
    <row r="216" spans="1:13" x14ac:dyDescent="0.25">
      <c r="A216" s="1" t="s">
        <v>471</v>
      </c>
      <c r="B216" s="2">
        <v>46130</v>
      </c>
      <c r="C216" s="1"/>
      <c r="D216" s="1">
        <v>7</v>
      </c>
      <c r="E216" s="7">
        <v>30000</v>
      </c>
      <c r="F216" s="14">
        <f t="shared" si="84"/>
        <v>360000</v>
      </c>
      <c r="G216" s="7">
        <v>450000</v>
      </c>
      <c r="H216" s="10">
        <v>90000</v>
      </c>
      <c r="I216" s="2">
        <f t="shared" si="85"/>
        <v>46151</v>
      </c>
      <c r="J216" s="1">
        <f t="shared" ca="1" si="86"/>
        <v>2</v>
      </c>
      <c r="K216" s="3" t="str">
        <f t="shared" ca="1" si="87"/>
        <v>VIGENTE</v>
      </c>
      <c r="L216" s="1">
        <f t="shared" si="88"/>
        <v>3</v>
      </c>
      <c r="M216" s="1">
        <f t="shared" si="89"/>
        <v>12</v>
      </c>
    </row>
    <row r="217" spans="1:13" x14ac:dyDescent="0.25">
      <c r="A217" s="1" t="s">
        <v>477</v>
      </c>
      <c r="B217" s="2">
        <v>46130</v>
      </c>
      <c r="C217" s="1"/>
      <c r="D217" s="1">
        <v>15</v>
      </c>
      <c r="E217" s="7">
        <v>23000</v>
      </c>
      <c r="F217" s="14">
        <f t="shared" si="84"/>
        <v>184000</v>
      </c>
      <c r="G217" s="7">
        <v>230000</v>
      </c>
      <c r="H217" s="10">
        <v>46000</v>
      </c>
      <c r="I217" s="2">
        <f t="shared" si="85"/>
        <v>46160</v>
      </c>
      <c r="J217" s="1">
        <f t="shared" ca="1" si="86"/>
        <v>11</v>
      </c>
      <c r="K217" s="3" t="str">
        <f t="shared" ca="1" si="87"/>
        <v>VIGENTE</v>
      </c>
      <c r="L217" s="1">
        <f t="shared" si="88"/>
        <v>2</v>
      </c>
      <c r="M217" s="1">
        <f t="shared" si="89"/>
        <v>8</v>
      </c>
    </row>
    <row r="218" spans="1:13" x14ac:dyDescent="0.25">
      <c r="A218" s="1" t="s">
        <v>478</v>
      </c>
      <c r="B218" s="2">
        <v>46130</v>
      </c>
      <c r="C218" s="1"/>
      <c r="D218" s="1">
        <v>7</v>
      </c>
      <c r="E218" s="7">
        <v>21000</v>
      </c>
      <c r="F218" s="14">
        <f t="shared" si="84"/>
        <v>168000</v>
      </c>
      <c r="G218" s="7">
        <v>210000</v>
      </c>
      <c r="H218" s="10">
        <v>42000</v>
      </c>
      <c r="I218" s="2">
        <f t="shared" si="85"/>
        <v>46144</v>
      </c>
      <c r="J218" s="1">
        <f t="shared" ca="1" si="86"/>
        <v>-5</v>
      </c>
      <c r="K218" s="3" t="str">
        <f t="shared" ca="1" si="87"/>
        <v>VENCIDO</v>
      </c>
      <c r="L218" s="1">
        <f t="shared" si="88"/>
        <v>2</v>
      </c>
      <c r="M218" s="1">
        <f t="shared" si="89"/>
        <v>8</v>
      </c>
    </row>
    <row r="219" spans="1:13" x14ac:dyDescent="0.25">
      <c r="A219" s="1" t="s">
        <v>479</v>
      </c>
      <c r="B219" s="2">
        <v>46130</v>
      </c>
      <c r="C219" s="1"/>
      <c r="D219" s="1">
        <v>7</v>
      </c>
      <c r="E219" s="7">
        <v>30000</v>
      </c>
      <c r="F219" s="14">
        <f t="shared" si="84"/>
        <v>360000</v>
      </c>
      <c r="G219" s="7">
        <v>450000</v>
      </c>
      <c r="H219" s="10">
        <v>90000</v>
      </c>
      <c r="I219" s="2">
        <f t="shared" si="85"/>
        <v>46151</v>
      </c>
      <c r="J219" s="1">
        <f t="shared" ca="1" si="86"/>
        <v>2</v>
      </c>
      <c r="K219" s="3" t="str">
        <f t="shared" ca="1" si="87"/>
        <v>VIGENTE</v>
      </c>
      <c r="L219" s="1">
        <f t="shared" si="88"/>
        <v>3</v>
      </c>
      <c r="M219" s="1">
        <f t="shared" si="89"/>
        <v>12</v>
      </c>
    </row>
    <row r="220" spans="1:13" x14ac:dyDescent="0.25">
      <c r="A220" s="1" t="s">
        <v>480</v>
      </c>
      <c r="B220" s="2">
        <v>46123</v>
      </c>
      <c r="C220" s="1" t="s">
        <v>13</v>
      </c>
      <c r="D220" s="1">
        <v>7</v>
      </c>
      <c r="E220" s="7">
        <v>150000</v>
      </c>
      <c r="F220" s="14">
        <f t="shared" si="84"/>
        <v>350000</v>
      </c>
      <c r="G220" s="7">
        <v>750000</v>
      </c>
      <c r="H220" s="10">
        <v>400000</v>
      </c>
      <c r="I220" s="2">
        <f t="shared" si="85"/>
        <v>46144</v>
      </c>
      <c r="J220" s="1">
        <f t="shared" ca="1" si="86"/>
        <v>-5</v>
      </c>
      <c r="K220" s="3" t="str">
        <f t="shared" ca="1" si="87"/>
        <v>VENCIDO</v>
      </c>
      <c r="L220" s="1">
        <f t="shared" si="88"/>
        <v>2</v>
      </c>
      <c r="M220" s="1">
        <f t="shared" si="89"/>
        <v>3</v>
      </c>
    </row>
    <row r="221" spans="1:13" x14ac:dyDescent="0.25">
      <c r="A221" s="1" t="s">
        <v>481</v>
      </c>
      <c r="B221" s="2">
        <v>46130</v>
      </c>
      <c r="C221" s="1"/>
      <c r="D221" s="1">
        <v>7</v>
      </c>
      <c r="E221" s="7">
        <v>30000</v>
      </c>
      <c r="F221" s="14">
        <f t="shared" si="84"/>
        <v>360000</v>
      </c>
      <c r="G221" s="7">
        <v>450000</v>
      </c>
      <c r="H221" s="10">
        <v>90000</v>
      </c>
      <c r="I221" s="2">
        <f t="shared" si="85"/>
        <v>46151</v>
      </c>
      <c r="J221" s="1">
        <f t="shared" ca="1" si="86"/>
        <v>2</v>
      </c>
      <c r="K221" s="3" t="str">
        <f t="shared" ca="1" si="87"/>
        <v>VIGENTE</v>
      </c>
      <c r="L221" s="1">
        <f t="shared" si="88"/>
        <v>3</v>
      </c>
      <c r="M221" s="1">
        <f t="shared" si="89"/>
        <v>12</v>
      </c>
    </row>
    <row r="222" spans="1:13" x14ac:dyDescent="0.25">
      <c r="A222" s="1" t="s">
        <v>485</v>
      </c>
      <c r="B222" s="2">
        <v>46132</v>
      </c>
      <c r="C222" s="1"/>
      <c r="D222" s="1">
        <v>7</v>
      </c>
      <c r="E222" s="7">
        <v>30000</v>
      </c>
      <c r="F222" s="14">
        <f t="shared" si="84"/>
        <v>510000</v>
      </c>
      <c r="G222" s="7">
        <v>570000</v>
      </c>
      <c r="H222" s="10">
        <v>60000</v>
      </c>
      <c r="I222" s="2">
        <f t="shared" si="85"/>
        <v>46146</v>
      </c>
      <c r="J222" s="1">
        <f t="shared" ca="1" si="86"/>
        <v>-3</v>
      </c>
      <c r="K222" s="3" t="str">
        <f t="shared" ca="1" si="87"/>
        <v>VENCIDO</v>
      </c>
      <c r="L222" s="1">
        <f t="shared" si="88"/>
        <v>2</v>
      </c>
      <c r="M222" s="1">
        <f t="shared" si="89"/>
        <v>17</v>
      </c>
    </row>
    <row r="223" spans="1:13" x14ac:dyDescent="0.25">
      <c r="A223" s="1" t="s">
        <v>486</v>
      </c>
      <c r="B223" s="2">
        <v>46125</v>
      </c>
      <c r="C223" s="1"/>
      <c r="D223" s="1">
        <v>7</v>
      </c>
      <c r="E223" s="7">
        <v>23000</v>
      </c>
      <c r="F223" s="14">
        <f t="shared" si="84"/>
        <v>161000</v>
      </c>
      <c r="G223" s="7">
        <v>230000</v>
      </c>
      <c r="H223" s="10">
        <v>69000</v>
      </c>
      <c r="I223" s="2">
        <f t="shared" si="85"/>
        <v>46146</v>
      </c>
      <c r="J223" s="1">
        <f t="shared" ca="1" si="86"/>
        <v>-3</v>
      </c>
      <c r="K223" s="3" t="str">
        <f t="shared" ca="1" si="87"/>
        <v>VENCIDO</v>
      </c>
      <c r="L223" s="1">
        <f t="shared" si="88"/>
        <v>3</v>
      </c>
      <c r="M223" s="1">
        <f t="shared" si="89"/>
        <v>7</v>
      </c>
    </row>
    <row r="224" spans="1:13" x14ac:dyDescent="0.25">
      <c r="A224" s="1" t="s">
        <v>487</v>
      </c>
      <c r="B224" s="2">
        <v>46127</v>
      </c>
      <c r="C224" s="1"/>
      <c r="D224" s="1">
        <v>7</v>
      </c>
      <c r="E224" s="7">
        <v>150000</v>
      </c>
      <c r="F224" s="14">
        <f t="shared" si="84"/>
        <v>5150000</v>
      </c>
      <c r="G224" s="7">
        <v>5250000</v>
      </c>
      <c r="H224" s="10">
        <v>100000</v>
      </c>
      <c r="I224" s="2">
        <f t="shared" si="85"/>
        <v>46127</v>
      </c>
      <c r="J224" s="1">
        <f t="shared" ca="1" si="86"/>
        <v>-22</v>
      </c>
      <c r="K224" s="3" t="str">
        <f t="shared" ca="1" si="87"/>
        <v>VENCIDO</v>
      </c>
      <c r="L224" s="1">
        <f t="shared" si="88"/>
        <v>0</v>
      </c>
      <c r="M224" s="1">
        <f t="shared" si="89"/>
        <v>35</v>
      </c>
    </row>
    <row r="225" spans="1:13" x14ac:dyDescent="0.25">
      <c r="A225" s="1" t="s">
        <v>489</v>
      </c>
      <c r="B225" s="2">
        <v>46132</v>
      </c>
      <c r="C225" s="1"/>
      <c r="D225" s="1">
        <v>7</v>
      </c>
      <c r="E225" s="7">
        <v>50000</v>
      </c>
      <c r="F225" s="14">
        <f t="shared" si="84"/>
        <v>800000</v>
      </c>
      <c r="G225" s="7">
        <v>900000</v>
      </c>
      <c r="H225" s="10">
        <v>100000</v>
      </c>
      <c r="I225" s="2">
        <f t="shared" si="85"/>
        <v>46146</v>
      </c>
      <c r="J225" s="1">
        <f t="shared" ca="1" si="86"/>
        <v>-3</v>
      </c>
      <c r="K225" s="3" t="str">
        <f t="shared" ca="1" si="87"/>
        <v>VENCIDO</v>
      </c>
      <c r="L225" s="1">
        <f t="shared" si="88"/>
        <v>2</v>
      </c>
      <c r="M225" s="1">
        <f t="shared" si="89"/>
        <v>16</v>
      </c>
    </row>
    <row r="226" spans="1:13" x14ac:dyDescent="0.25">
      <c r="A226" s="1" t="s">
        <v>92</v>
      </c>
      <c r="B226" s="2">
        <v>46132</v>
      </c>
      <c r="C226" s="1" t="s">
        <v>13</v>
      </c>
      <c r="D226" s="1">
        <v>7</v>
      </c>
      <c r="E226" s="7">
        <v>24000</v>
      </c>
      <c r="F226" s="14">
        <f t="shared" si="84"/>
        <v>144000</v>
      </c>
      <c r="G226" s="7">
        <v>192000</v>
      </c>
      <c r="H226" s="10">
        <v>48000</v>
      </c>
      <c r="I226" s="2">
        <f t="shared" si="85"/>
        <v>46153</v>
      </c>
      <c r="J226" s="1">
        <f t="shared" ca="1" si="86"/>
        <v>4</v>
      </c>
      <c r="K226" s="3" t="str">
        <f t="shared" ca="1" si="87"/>
        <v>VIGENTE</v>
      </c>
      <c r="L226" s="1">
        <f t="shared" si="88"/>
        <v>2</v>
      </c>
      <c r="M226" s="1">
        <f t="shared" si="89"/>
        <v>6</v>
      </c>
    </row>
    <row r="227" spans="1:13" x14ac:dyDescent="0.25">
      <c r="A227" s="1" t="s">
        <v>492</v>
      </c>
      <c r="B227" s="2">
        <v>46133</v>
      </c>
      <c r="C227" s="1"/>
      <c r="D227" s="1">
        <v>7</v>
      </c>
      <c r="E227" s="7">
        <v>30000</v>
      </c>
      <c r="F227" s="14">
        <f t="shared" si="84"/>
        <v>360000</v>
      </c>
      <c r="G227" s="7">
        <v>450000</v>
      </c>
      <c r="H227" s="10">
        <v>90000</v>
      </c>
      <c r="I227" s="2">
        <f t="shared" si="85"/>
        <v>46154</v>
      </c>
      <c r="J227" s="1">
        <f t="shared" ca="1" si="86"/>
        <v>5</v>
      </c>
      <c r="K227" s="3" t="str">
        <f t="shared" ca="1" si="87"/>
        <v>VIGENTE</v>
      </c>
      <c r="L227" s="1">
        <f t="shared" si="88"/>
        <v>3</v>
      </c>
      <c r="M227" s="1">
        <f t="shared" si="89"/>
        <v>12</v>
      </c>
    </row>
    <row r="228" spans="1:13" x14ac:dyDescent="0.25">
      <c r="A228" s="1" t="s">
        <v>493</v>
      </c>
      <c r="B228" s="2">
        <v>46133</v>
      </c>
      <c r="C228" s="1"/>
      <c r="D228" s="1">
        <v>7</v>
      </c>
      <c r="E228" s="7">
        <v>23000</v>
      </c>
      <c r="F228" s="14">
        <f t="shared" si="84"/>
        <v>230000</v>
      </c>
      <c r="G228" s="7">
        <v>230000</v>
      </c>
      <c r="H228" s="10"/>
      <c r="I228" s="2">
        <f t="shared" si="85"/>
        <v>46133</v>
      </c>
      <c r="J228" s="1">
        <f t="shared" ca="1" si="86"/>
        <v>-16</v>
      </c>
      <c r="K228" s="3" t="str">
        <f t="shared" ca="1" si="87"/>
        <v>VENCIDO</v>
      </c>
      <c r="L228" s="1">
        <f t="shared" si="88"/>
        <v>0</v>
      </c>
      <c r="M228" s="1">
        <f t="shared" si="89"/>
        <v>10</v>
      </c>
    </row>
    <row r="229" spans="1:13" x14ac:dyDescent="0.25">
      <c r="A229" s="1" t="s">
        <v>498</v>
      </c>
      <c r="B229" s="2">
        <v>46133</v>
      </c>
      <c r="C229" s="1"/>
      <c r="D229" s="1">
        <v>7</v>
      </c>
      <c r="E229" s="7">
        <v>12000</v>
      </c>
      <c r="F229" s="14">
        <f t="shared" si="84"/>
        <v>48000</v>
      </c>
      <c r="G229" s="7">
        <v>72000</v>
      </c>
      <c r="H229" s="10">
        <v>24000</v>
      </c>
      <c r="I229" s="2">
        <f t="shared" si="85"/>
        <v>46147</v>
      </c>
      <c r="J229" s="1">
        <f t="shared" ca="1" si="86"/>
        <v>-2</v>
      </c>
      <c r="K229" s="3" t="str">
        <f t="shared" ca="1" si="87"/>
        <v>VENCIDO</v>
      </c>
      <c r="L229" s="1">
        <f t="shared" si="88"/>
        <v>2</v>
      </c>
      <c r="M229" s="1">
        <f t="shared" si="89"/>
        <v>4</v>
      </c>
    </row>
    <row r="230" spans="1:13" x14ac:dyDescent="0.25">
      <c r="A230" s="1" t="s">
        <v>504</v>
      </c>
      <c r="B230" s="2">
        <v>46134</v>
      </c>
      <c r="C230" s="1" t="s">
        <v>13</v>
      </c>
      <c r="D230" s="1">
        <v>7</v>
      </c>
      <c r="E230" s="7">
        <v>38000</v>
      </c>
      <c r="F230" s="14">
        <f t="shared" si="84"/>
        <v>342000</v>
      </c>
      <c r="G230" s="7">
        <v>380000</v>
      </c>
      <c r="H230" s="10">
        <v>38000</v>
      </c>
      <c r="I230" s="2">
        <f t="shared" si="85"/>
        <v>46148</v>
      </c>
      <c r="J230" s="1">
        <f t="shared" ca="1" si="86"/>
        <v>-1</v>
      </c>
      <c r="K230" s="3" t="str">
        <f t="shared" ca="1" si="87"/>
        <v>VENCIDO</v>
      </c>
      <c r="L230" s="1">
        <f t="shared" si="88"/>
        <v>1</v>
      </c>
      <c r="M230" s="1">
        <f t="shared" si="89"/>
        <v>9</v>
      </c>
    </row>
    <row r="231" spans="1:13" x14ac:dyDescent="0.25">
      <c r="A231" s="1" t="s">
        <v>506</v>
      </c>
      <c r="B231" s="2">
        <v>46135</v>
      </c>
      <c r="C231" s="1"/>
      <c r="D231" s="1">
        <v>7</v>
      </c>
      <c r="E231" s="7">
        <v>31000</v>
      </c>
      <c r="F231" s="14">
        <f t="shared" si="84"/>
        <v>744000</v>
      </c>
      <c r="G231" s="7">
        <v>806000</v>
      </c>
      <c r="H231" s="10">
        <v>62000</v>
      </c>
      <c r="I231" s="2">
        <f t="shared" si="85"/>
        <v>46149</v>
      </c>
      <c r="J231" s="1">
        <f t="shared" ca="1" si="86"/>
        <v>0</v>
      </c>
      <c r="K231" s="3" t="str">
        <f t="shared" ca="1" si="87"/>
        <v>PRÓXIMO</v>
      </c>
      <c r="L231" s="1">
        <f t="shared" si="88"/>
        <v>2</v>
      </c>
      <c r="M231" s="1">
        <f t="shared" si="89"/>
        <v>24</v>
      </c>
    </row>
    <row r="232" spans="1:13" x14ac:dyDescent="0.25">
      <c r="A232" s="1" t="s">
        <v>507</v>
      </c>
      <c r="B232" s="2">
        <v>46135</v>
      </c>
      <c r="C232" s="1"/>
      <c r="D232" s="1">
        <v>7</v>
      </c>
      <c r="E232" s="7">
        <v>28000</v>
      </c>
      <c r="F232" s="14">
        <f t="shared" si="84"/>
        <v>308000</v>
      </c>
      <c r="G232" s="7">
        <v>336000</v>
      </c>
      <c r="H232" s="10">
        <v>28000</v>
      </c>
      <c r="I232" s="2">
        <f t="shared" si="85"/>
        <v>46142</v>
      </c>
      <c r="J232" s="1">
        <f t="shared" ca="1" si="86"/>
        <v>-7</v>
      </c>
      <c r="K232" s="3" t="str">
        <f t="shared" ca="1" si="87"/>
        <v>VENCIDO</v>
      </c>
      <c r="L232" s="1">
        <f t="shared" si="88"/>
        <v>1</v>
      </c>
      <c r="M232" s="1">
        <f t="shared" si="89"/>
        <v>11</v>
      </c>
    </row>
    <row r="233" spans="1:13" x14ac:dyDescent="0.25">
      <c r="A233" s="1" t="s">
        <v>508</v>
      </c>
      <c r="B233" s="2">
        <v>46135</v>
      </c>
      <c r="C233" s="1"/>
      <c r="D233" s="1">
        <v>7</v>
      </c>
      <c r="E233" s="7">
        <v>40000</v>
      </c>
      <c r="F233" s="14">
        <f t="shared" si="84"/>
        <v>560000</v>
      </c>
      <c r="G233" s="7">
        <v>640000</v>
      </c>
      <c r="H233" s="10">
        <v>80000</v>
      </c>
      <c r="I233" s="2">
        <f t="shared" si="85"/>
        <v>46149</v>
      </c>
      <c r="J233" s="1">
        <f t="shared" ca="1" si="86"/>
        <v>0</v>
      </c>
      <c r="K233" s="3" t="str">
        <f t="shared" ca="1" si="87"/>
        <v>PRÓXIMO</v>
      </c>
      <c r="L233" s="1">
        <f t="shared" si="88"/>
        <v>2</v>
      </c>
      <c r="M233" s="1">
        <f t="shared" si="89"/>
        <v>14</v>
      </c>
    </row>
    <row r="234" spans="1:13" x14ac:dyDescent="0.25">
      <c r="A234" s="1" t="s">
        <v>509</v>
      </c>
      <c r="B234" s="2">
        <v>46136</v>
      </c>
      <c r="C234" s="1"/>
      <c r="D234" s="1">
        <v>7</v>
      </c>
      <c r="E234" s="7">
        <v>30000</v>
      </c>
      <c r="F234" s="14">
        <f t="shared" si="84"/>
        <v>480000</v>
      </c>
      <c r="G234" s="7">
        <v>540000</v>
      </c>
      <c r="H234" s="10">
        <v>60000</v>
      </c>
      <c r="I234" s="2">
        <f t="shared" si="85"/>
        <v>46150</v>
      </c>
      <c r="J234" s="1">
        <f t="shared" ca="1" si="86"/>
        <v>1</v>
      </c>
      <c r="K234" s="3" t="str">
        <f t="shared" ca="1" si="87"/>
        <v>PRÓXIMO</v>
      </c>
      <c r="L234" s="1">
        <f t="shared" si="88"/>
        <v>2</v>
      </c>
      <c r="M234" s="1">
        <f t="shared" si="89"/>
        <v>16</v>
      </c>
    </row>
    <row r="235" spans="1:13" x14ac:dyDescent="0.25">
      <c r="A235" s="1" t="s">
        <v>510</v>
      </c>
      <c r="B235" s="2">
        <v>46136</v>
      </c>
      <c r="C235" s="1" t="s">
        <v>13</v>
      </c>
      <c r="D235" s="1">
        <v>7</v>
      </c>
      <c r="E235" s="7">
        <v>95000</v>
      </c>
      <c r="F235" s="14">
        <f t="shared" si="84"/>
        <v>855000</v>
      </c>
      <c r="G235" s="7">
        <v>950000</v>
      </c>
      <c r="H235" s="10">
        <v>95000</v>
      </c>
      <c r="I235" s="2">
        <f t="shared" si="85"/>
        <v>46150</v>
      </c>
      <c r="J235" s="1">
        <f t="shared" ca="1" si="86"/>
        <v>1</v>
      </c>
      <c r="K235" s="3" t="str">
        <f t="shared" ca="1" si="87"/>
        <v>PRÓXIMO</v>
      </c>
      <c r="L235" s="1">
        <f t="shared" si="88"/>
        <v>1</v>
      </c>
      <c r="M235" s="1">
        <f t="shared" si="89"/>
        <v>9</v>
      </c>
    </row>
    <row r="236" spans="1:13" x14ac:dyDescent="0.25">
      <c r="A236" s="1" t="s">
        <v>511</v>
      </c>
      <c r="B236" s="2">
        <v>46136</v>
      </c>
      <c r="C236" s="1"/>
      <c r="D236" s="1">
        <v>7</v>
      </c>
      <c r="E236" s="7">
        <v>35000</v>
      </c>
      <c r="F236" s="14">
        <f t="shared" si="84"/>
        <v>945000</v>
      </c>
      <c r="G236" s="7">
        <v>980000</v>
      </c>
      <c r="H236" s="10">
        <v>35000</v>
      </c>
      <c r="I236" s="2">
        <f t="shared" si="85"/>
        <v>46143</v>
      </c>
      <c r="J236" s="1">
        <f t="shared" ca="1" si="86"/>
        <v>-6</v>
      </c>
      <c r="K236" s="3" t="str">
        <f t="shared" ca="1" si="87"/>
        <v>VENCIDO</v>
      </c>
      <c r="L236" s="1">
        <f t="shared" si="88"/>
        <v>1</v>
      </c>
      <c r="M236" s="1">
        <f t="shared" si="89"/>
        <v>27</v>
      </c>
    </row>
    <row r="237" spans="1:13" x14ac:dyDescent="0.25">
      <c r="A237" s="1" t="s">
        <v>515</v>
      </c>
      <c r="B237" s="2">
        <v>46137</v>
      </c>
      <c r="C237" s="1"/>
      <c r="D237" s="1">
        <v>7</v>
      </c>
      <c r="E237" s="7">
        <v>25000</v>
      </c>
      <c r="F237" s="14">
        <f t="shared" si="84"/>
        <v>350000</v>
      </c>
      <c r="G237" s="7">
        <v>375000</v>
      </c>
      <c r="H237" s="10">
        <v>25000</v>
      </c>
      <c r="I237" s="2">
        <f t="shared" si="85"/>
        <v>46144</v>
      </c>
      <c r="J237" s="1">
        <f t="shared" ca="1" si="86"/>
        <v>-5</v>
      </c>
      <c r="K237" s="3" t="str">
        <f t="shared" ca="1" si="87"/>
        <v>VENCIDO</v>
      </c>
      <c r="L237" s="1">
        <f t="shared" si="88"/>
        <v>1</v>
      </c>
      <c r="M237" s="1">
        <f t="shared" si="89"/>
        <v>14</v>
      </c>
    </row>
    <row r="238" spans="1:13" x14ac:dyDescent="0.25">
      <c r="A238" s="1" t="s">
        <v>519</v>
      </c>
      <c r="B238" s="2">
        <v>46137</v>
      </c>
      <c r="C238" s="1"/>
      <c r="D238" s="1">
        <v>7</v>
      </c>
      <c r="E238" s="7">
        <v>100000</v>
      </c>
      <c r="F238" s="14">
        <f t="shared" si="84"/>
        <v>400000</v>
      </c>
      <c r="G238" s="7">
        <v>400000</v>
      </c>
      <c r="H238" s="10"/>
      <c r="I238" s="2">
        <f t="shared" si="85"/>
        <v>46137</v>
      </c>
      <c r="J238" s="1">
        <f t="shared" ca="1" si="86"/>
        <v>-12</v>
      </c>
      <c r="K238" s="3" t="str">
        <f t="shared" ca="1" si="87"/>
        <v>VENCIDO</v>
      </c>
      <c r="L238" s="1">
        <f t="shared" si="88"/>
        <v>0</v>
      </c>
      <c r="M238" s="1">
        <f t="shared" si="89"/>
        <v>4</v>
      </c>
    </row>
    <row r="239" spans="1:13" x14ac:dyDescent="0.25">
      <c r="A239" s="1" t="s">
        <v>520</v>
      </c>
      <c r="B239" s="2">
        <v>46137</v>
      </c>
      <c r="C239" s="1"/>
      <c r="D239" s="1">
        <v>7</v>
      </c>
      <c r="E239" s="7">
        <v>25000</v>
      </c>
      <c r="F239" s="14">
        <f t="shared" si="84"/>
        <v>300000</v>
      </c>
      <c r="G239" s="7">
        <v>350000</v>
      </c>
      <c r="H239" s="10">
        <v>50000</v>
      </c>
      <c r="I239" s="2">
        <f t="shared" si="85"/>
        <v>46151</v>
      </c>
      <c r="J239" s="1">
        <f t="shared" ca="1" si="86"/>
        <v>2</v>
      </c>
      <c r="K239" s="3" t="str">
        <f t="shared" ca="1" si="87"/>
        <v>VIGENTE</v>
      </c>
      <c r="L239" s="1">
        <f t="shared" si="88"/>
        <v>2</v>
      </c>
      <c r="M239" s="1">
        <f t="shared" si="89"/>
        <v>12</v>
      </c>
    </row>
    <row r="240" spans="1:13" x14ac:dyDescent="0.25">
      <c r="A240" s="1" t="s">
        <v>521</v>
      </c>
      <c r="B240" s="2">
        <v>46137</v>
      </c>
      <c r="C240" s="1"/>
      <c r="D240" s="1">
        <v>7</v>
      </c>
      <c r="E240" s="7">
        <v>14500</v>
      </c>
      <c r="F240" s="14">
        <f t="shared" si="84"/>
        <v>104500</v>
      </c>
      <c r="G240" s="7">
        <v>116000</v>
      </c>
      <c r="H240" s="10">
        <v>11500</v>
      </c>
      <c r="I240" s="2">
        <f t="shared" si="85"/>
        <v>46137</v>
      </c>
      <c r="J240" s="1">
        <f t="shared" ca="1" si="86"/>
        <v>-12</v>
      </c>
      <c r="K240" s="3" t="str">
        <f t="shared" ca="1" si="87"/>
        <v>VENCIDO</v>
      </c>
      <c r="L240" s="1">
        <f t="shared" si="88"/>
        <v>0</v>
      </c>
      <c r="M240" s="1">
        <f t="shared" si="89"/>
        <v>8</v>
      </c>
    </row>
    <row r="241" spans="1:13" x14ac:dyDescent="0.25">
      <c r="A241" s="1" t="s">
        <v>529</v>
      </c>
      <c r="B241" s="2">
        <v>46139</v>
      </c>
      <c r="C241" s="1" t="s">
        <v>13</v>
      </c>
      <c r="D241" s="1">
        <v>7</v>
      </c>
      <c r="E241" s="7">
        <v>65000</v>
      </c>
      <c r="F241" s="14">
        <f t="shared" si="84"/>
        <v>260000</v>
      </c>
      <c r="G241" s="7">
        <v>325000</v>
      </c>
      <c r="H241" s="10">
        <v>65000</v>
      </c>
      <c r="I241" s="2">
        <f t="shared" si="85"/>
        <v>46153</v>
      </c>
      <c r="J241" s="1">
        <f t="shared" ca="1" si="86"/>
        <v>4</v>
      </c>
      <c r="K241" s="3" t="str">
        <f t="shared" ca="1" si="87"/>
        <v>VIGENTE</v>
      </c>
      <c r="L241" s="1">
        <f t="shared" si="88"/>
        <v>1</v>
      </c>
      <c r="M241" s="1">
        <f t="shared" si="89"/>
        <v>4</v>
      </c>
    </row>
    <row r="242" spans="1:13" x14ac:dyDescent="0.25">
      <c r="A242" s="1" t="s">
        <v>532</v>
      </c>
      <c r="B242" s="2">
        <v>46137</v>
      </c>
      <c r="C242" s="1"/>
      <c r="D242" s="1">
        <v>7</v>
      </c>
      <c r="E242" s="7">
        <v>11500</v>
      </c>
      <c r="F242" s="14">
        <f t="shared" si="84"/>
        <v>92000</v>
      </c>
      <c r="G242" s="7">
        <v>92000</v>
      </c>
      <c r="H242" s="10"/>
      <c r="I242" s="2">
        <f t="shared" si="85"/>
        <v>46137</v>
      </c>
      <c r="J242" s="1">
        <f t="shared" ca="1" si="86"/>
        <v>-12</v>
      </c>
      <c r="K242" s="3" t="str">
        <f t="shared" ca="1" si="87"/>
        <v>VENCIDO</v>
      </c>
      <c r="L242" s="1">
        <f t="shared" si="88"/>
        <v>0</v>
      </c>
      <c r="M242" s="1">
        <f t="shared" si="89"/>
        <v>8</v>
      </c>
    </row>
    <row r="243" spans="1:13" x14ac:dyDescent="0.25">
      <c r="A243" s="1" t="s">
        <v>533</v>
      </c>
      <c r="B243" s="2">
        <v>46140</v>
      </c>
      <c r="C243" s="1"/>
      <c r="D243" s="1">
        <v>7</v>
      </c>
      <c r="E243" s="7">
        <v>36000</v>
      </c>
      <c r="F243" s="14">
        <f t="shared" si="84"/>
        <v>1152000</v>
      </c>
      <c r="G243" s="7">
        <v>1152000</v>
      </c>
      <c r="H243" s="10"/>
      <c r="I243" s="2">
        <f t="shared" si="85"/>
        <v>46140</v>
      </c>
      <c r="J243" s="1">
        <f t="shared" ca="1" si="86"/>
        <v>-9</v>
      </c>
      <c r="K243" s="3" t="str">
        <f t="shared" ca="1" si="87"/>
        <v>VENCIDO</v>
      </c>
      <c r="L243" s="1">
        <f t="shared" si="88"/>
        <v>0</v>
      </c>
      <c r="M243" s="1">
        <f t="shared" si="89"/>
        <v>32</v>
      </c>
    </row>
    <row r="244" spans="1:13" x14ac:dyDescent="0.25">
      <c r="A244" s="1" t="s">
        <v>534</v>
      </c>
      <c r="B244" s="2">
        <v>46137</v>
      </c>
      <c r="C244" s="1"/>
      <c r="D244" s="1">
        <v>7</v>
      </c>
      <c r="E244" s="7">
        <v>35000</v>
      </c>
      <c r="F244" s="14">
        <f t="shared" si="84"/>
        <v>910000</v>
      </c>
      <c r="G244" s="7">
        <v>980000</v>
      </c>
      <c r="H244" s="10">
        <v>70000</v>
      </c>
      <c r="I244" s="2">
        <f t="shared" si="85"/>
        <v>46151</v>
      </c>
      <c r="J244" s="1">
        <f t="shared" ca="1" si="86"/>
        <v>2</v>
      </c>
      <c r="K244" s="3" t="str">
        <f t="shared" ca="1" si="87"/>
        <v>VIGENTE</v>
      </c>
      <c r="L244" s="1">
        <f t="shared" si="88"/>
        <v>2</v>
      </c>
      <c r="M244" s="1">
        <f t="shared" si="89"/>
        <v>26</v>
      </c>
    </row>
    <row r="245" spans="1:13" x14ac:dyDescent="0.25">
      <c r="A245" s="1" t="s">
        <v>537</v>
      </c>
      <c r="B245" s="2">
        <v>46140</v>
      </c>
      <c r="C245" s="1"/>
      <c r="D245" s="1">
        <v>7</v>
      </c>
      <c r="E245" s="7">
        <v>25000</v>
      </c>
      <c r="F245" s="14">
        <f t="shared" si="84"/>
        <v>300000</v>
      </c>
      <c r="G245" s="7">
        <v>350000</v>
      </c>
      <c r="H245" s="10">
        <v>50000</v>
      </c>
      <c r="I245" s="2">
        <f t="shared" si="85"/>
        <v>46154</v>
      </c>
      <c r="J245" s="1">
        <f t="shared" ca="1" si="86"/>
        <v>5</v>
      </c>
      <c r="K245" s="3" t="str">
        <f t="shared" ca="1" si="87"/>
        <v>VIGENTE</v>
      </c>
      <c r="L245" s="1">
        <f t="shared" si="88"/>
        <v>2</v>
      </c>
      <c r="M245" s="1">
        <f t="shared" si="89"/>
        <v>12</v>
      </c>
    </row>
    <row r="246" spans="1:13" x14ac:dyDescent="0.25">
      <c r="A246" s="1" t="s">
        <v>539</v>
      </c>
      <c r="B246" s="2">
        <v>46139</v>
      </c>
      <c r="C246" s="1"/>
      <c r="D246" s="1">
        <v>7</v>
      </c>
      <c r="E246" s="7">
        <v>18000</v>
      </c>
      <c r="F246" s="14">
        <f t="shared" si="84"/>
        <v>160000</v>
      </c>
      <c r="G246" s="7">
        <v>180000</v>
      </c>
      <c r="H246" s="10">
        <v>20000</v>
      </c>
      <c r="I246" s="2">
        <f t="shared" si="85"/>
        <v>46146</v>
      </c>
      <c r="J246" s="1">
        <f t="shared" ca="1" si="86"/>
        <v>-3</v>
      </c>
      <c r="K246" s="3" t="str">
        <f t="shared" ca="1" si="87"/>
        <v>VENCIDO</v>
      </c>
      <c r="L246" s="1">
        <f t="shared" si="88"/>
        <v>1</v>
      </c>
      <c r="M246" s="1">
        <f t="shared" si="89"/>
        <v>9</v>
      </c>
    </row>
    <row r="247" spans="1:13" x14ac:dyDescent="0.25">
      <c r="A247" s="1" t="s">
        <v>547</v>
      </c>
      <c r="B247" s="2">
        <v>46140</v>
      </c>
      <c r="C247" s="1"/>
      <c r="D247" s="1">
        <v>7</v>
      </c>
      <c r="E247" s="7">
        <v>40000</v>
      </c>
      <c r="F247" s="14">
        <f t="shared" si="84"/>
        <v>920000</v>
      </c>
      <c r="G247" s="7">
        <v>1000000</v>
      </c>
      <c r="H247" s="10">
        <v>80000</v>
      </c>
      <c r="I247" s="2">
        <f t="shared" si="85"/>
        <v>46154</v>
      </c>
      <c r="J247" s="1">
        <f t="shared" ca="1" si="86"/>
        <v>5</v>
      </c>
      <c r="K247" s="3" t="str">
        <f t="shared" ca="1" si="87"/>
        <v>VIGENTE</v>
      </c>
      <c r="L247" s="1">
        <f t="shared" si="88"/>
        <v>2</v>
      </c>
      <c r="M247" s="1">
        <f t="shared" si="89"/>
        <v>23</v>
      </c>
    </row>
    <row r="248" spans="1:13" x14ac:dyDescent="0.25">
      <c r="A248" s="1" t="s">
        <v>550</v>
      </c>
      <c r="B248" s="2">
        <v>46140</v>
      </c>
      <c r="C248" s="1"/>
      <c r="D248" s="1">
        <v>7</v>
      </c>
      <c r="E248" s="7">
        <v>14000</v>
      </c>
      <c r="F248" s="14">
        <f t="shared" si="84"/>
        <v>112000</v>
      </c>
      <c r="G248" s="7">
        <v>112000</v>
      </c>
      <c r="H248" s="10"/>
      <c r="I248" s="2">
        <f t="shared" si="85"/>
        <v>46140</v>
      </c>
      <c r="J248" s="1">
        <f t="shared" ca="1" si="86"/>
        <v>-9</v>
      </c>
      <c r="K248" s="3" t="str">
        <f t="shared" ca="1" si="87"/>
        <v>VENCIDO</v>
      </c>
      <c r="L248" s="1">
        <f t="shared" si="88"/>
        <v>0</v>
      </c>
      <c r="M248" s="1">
        <f t="shared" si="89"/>
        <v>8</v>
      </c>
    </row>
    <row r="249" spans="1:13" x14ac:dyDescent="0.25">
      <c r="A249" s="1" t="s">
        <v>553</v>
      </c>
      <c r="B249" s="2">
        <v>46141</v>
      </c>
      <c r="C249" s="1" t="s">
        <v>13</v>
      </c>
      <c r="D249" s="1">
        <v>7</v>
      </c>
      <c r="E249" s="7">
        <v>36000</v>
      </c>
      <c r="F249" s="14">
        <f t="shared" si="84"/>
        <v>288000</v>
      </c>
      <c r="G249" s="7">
        <v>288000</v>
      </c>
      <c r="H249" s="10"/>
      <c r="I249" s="2">
        <f t="shared" si="85"/>
        <v>46148</v>
      </c>
      <c r="J249" s="1">
        <f t="shared" ca="1" si="86"/>
        <v>-1</v>
      </c>
      <c r="K249" s="3" t="str">
        <f t="shared" ca="1" si="87"/>
        <v>VENCIDO</v>
      </c>
      <c r="L249" s="1">
        <f t="shared" si="88"/>
        <v>0</v>
      </c>
      <c r="M249" s="1">
        <f t="shared" si="89"/>
        <v>8</v>
      </c>
    </row>
    <row r="250" spans="1:13" x14ac:dyDescent="0.25">
      <c r="A250" s="1" t="s">
        <v>557</v>
      </c>
      <c r="B250" s="2">
        <v>46142</v>
      </c>
      <c r="C250" s="1"/>
      <c r="D250" s="1">
        <v>7</v>
      </c>
      <c r="E250" s="7">
        <v>22000</v>
      </c>
      <c r="F250" s="14">
        <f t="shared" si="84"/>
        <v>352000</v>
      </c>
      <c r="G250" s="7">
        <v>352000</v>
      </c>
      <c r="H250" s="10"/>
      <c r="I250" s="2">
        <f t="shared" si="85"/>
        <v>46142</v>
      </c>
      <c r="J250" s="1">
        <f t="shared" ca="1" si="86"/>
        <v>-7</v>
      </c>
      <c r="K250" s="3" t="str">
        <f t="shared" ca="1" si="87"/>
        <v>VENCIDO</v>
      </c>
      <c r="L250" s="1">
        <f t="shared" si="88"/>
        <v>0</v>
      </c>
      <c r="M250" s="1">
        <f t="shared" si="89"/>
        <v>16</v>
      </c>
    </row>
    <row r="251" spans="1:13" x14ac:dyDescent="0.25">
      <c r="A251" s="1" t="s">
        <v>559</v>
      </c>
      <c r="B251" s="2">
        <v>46142</v>
      </c>
      <c r="C251" s="1"/>
      <c r="D251" s="1">
        <v>15</v>
      </c>
      <c r="E251" s="7">
        <v>50000</v>
      </c>
      <c r="F251" s="14">
        <f t="shared" si="84"/>
        <v>250000</v>
      </c>
      <c r="G251" s="7">
        <v>300000</v>
      </c>
      <c r="H251" s="10">
        <v>50000</v>
      </c>
      <c r="I251" s="2">
        <f t="shared" si="85"/>
        <v>46157</v>
      </c>
      <c r="J251" s="1">
        <f t="shared" ca="1" si="86"/>
        <v>8</v>
      </c>
      <c r="K251" s="3" t="str">
        <f t="shared" ca="1" si="87"/>
        <v>VIGENTE</v>
      </c>
      <c r="L251" s="1">
        <f t="shared" si="88"/>
        <v>1</v>
      </c>
      <c r="M251" s="1">
        <f t="shared" si="89"/>
        <v>5</v>
      </c>
    </row>
    <row r="252" spans="1:13" x14ac:dyDescent="0.25">
      <c r="A252" s="1" t="s">
        <v>562</v>
      </c>
      <c r="B252" s="2">
        <v>46142</v>
      </c>
      <c r="C252" s="1" t="s">
        <v>13</v>
      </c>
      <c r="D252" s="1">
        <v>7</v>
      </c>
      <c r="E252" s="7">
        <v>48000</v>
      </c>
      <c r="F252" s="14">
        <f t="shared" si="84"/>
        <v>480000</v>
      </c>
      <c r="G252" s="7">
        <v>480000</v>
      </c>
      <c r="H252" s="10"/>
      <c r="I252" s="2">
        <f t="shared" si="85"/>
        <v>46149</v>
      </c>
      <c r="J252" s="1">
        <f t="shared" ca="1" si="86"/>
        <v>0</v>
      </c>
      <c r="K252" s="3" t="str">
        <f t="shared" ca="1" si="87"/>
        <v>PRÓXIMO</v>
      </c>
      <c r="L252" s="1">
        <f t="shared" si="88"/>
        <v>0</v>
      </c>
      <c r="M252" s="1">
        <f t="shared" si="89"/>
        <v>10</v>
      </c>
    </row>
    <row r="253" spans="1:13" x14ac:dyDescent="0.25">
      <c r="A253" s="1" t="s">
        <v>564</v>
      </c>
      <c r="B253" s="2">
        <v>46143</v>
      </c>
      <c r="C253" s="1"/>
      <c r="D253" s="1">
        <v>7</v>
      </c>
      <c r="E253" s="7">
        <v>38000</v>
      </c>
      <c r="F253" s="14">
        <f t="shared" si="84"/>
        <v>608000</v>
      </c>
      <c r="G253" s="7">
        <v>608000</v>
      </c>
      <c r="H253" s="10"/>
      <c r="I253" s="2">
        <f t="shared" si="85"/>
        <v>46143</v>
      </c>
      <c r="J253" s="1">
        <f t="shared" ca="1" si="86"/>
        <v>-6</v>
      </c>
      <c r="K253" s="3" t="str">
        <f t="shared" ca="1" si="87"/>
        <v>VENCIDO</v>
      </c>
      <c r="L253" s="1">
        <f t="shared" si="88"/>
        <v>0</v>
      </c>
      <c r="M253" s="1">
        <f t="shared" si="89"/>
        <v>16</v>
      </c>
    </row>
    <row r="254" spans="1:13" x14ac:dyDescent="0.25">
      <c r="A254" s="1" t="s">
        <v>568</v>
      </c>
      <c r="B254" s="2">
        <v>46144</v>
      </c>
      <c r="C254" s="1"/>
      <c r="D254" s="1">
        <v>7</v>
      </c>
      <c r="E254" s="7">
        <v>39000</v>
      </c>
      <c r="F254" s="14">
        <f t="shared" si="84"/>
        <v>312000</v>
      </c>
      <c r="G254" s="7">
        <v>312000</v>
      </c>
      <c r="H254" s="10"/>
      <c r="I254" s="2">
        <f t="shared" si="85"/>
        <v>46144</v>
      </c>
      <c r="J254" s="1">
        <f t="shared" ca="1" si="86"/>
        <v>-5</v>
      </c>
      <c r="K254" s="3" t="str">
        <f t="shared" ca="1" si="87"/>
        <v>VENCIDO</v>
      </c>
      <c r="L254" s="1">
        <f t="shared" si="88"/>
        <v>0</v>
      </c>
      <c r="M254" s="1">
        <f t="shared" si="89"/>
        <v>8</v>
      </c>
    </row>
    <row r="255" spans="1:13" x14ac:dyDescent="0.25">
      <c r="A255" s="1" t="s">
        <v>577</v>
      </c>
      <c r="B255" s="2">
        <v>46146</v>
      </c>
      <c r="C255" s="1" t="s">
        <v>13</v>
      </c>
      <c r="D255" s="1">
        <v>7</v>
      </c>
      <c r="E255" s="7">
        <v>30000</v>
      </c>
      <c r="F255" s="14">
        <f t="shared" si="84"/>
        <v>150000</v>
      </c>
      <c r="G255" s="7">
        <v>150000</v>
      </c>
      <c r="H255" s="10"/>
      <c r="I255" s="2">
        <f t="shared" si="85"/>
        <v>46153</v>
      </c>
      <c r="J255" s="1">
        <f t="shared" ca="1" si="86"/>
        <v>4</v>
      </c>
      <c r="K255" s="3" t="str">
        <f t="shared" ca="1" si="87"/>
        <v>VIGENTE</v>
      </c>
      <c r="L255" s="1">
        <f t="shared" si="88"/>
        <v>0</v>
      </c>
      <c r="M255" s="1">
        <f t="shared" si="89"/>
        <v>5</v>
      </c>
    </row>
    <row r="256" spans="1:13" x14ac:dyDescent="0.25">
      <c r="A256" s="1" t="s">
        <v>582</v>
      </c>
      <c r="B256" s="2">
        <v>46146</v>
      </c>
      <c r="C256" s="1" t="s">
        <v>13</v>
      </c>
      <c r="D256" s="1">
        <v>7</v>
      </c>
      <c r="E256" s="7">
        <v>19000</v>
      </c>
      <c r="F256" s="14">
        <f t="shared" si="84"/>
        <v>190000</v>
      </c>
      <c r="G256" s="7">
        <v>190000</v>
      </c>
      <c r="H256" s="10"/>
      <c r="I256" s="2">
        <f t="shared" si="85"/>
        <v>46153</v>
      </c>
      <c r="J256" s="1">
        <f t="shared" ca="1" si="86"/>
        <v>4</v>
      </c>
      <c r="K256" s="3" t="str">
        <f t="shared" ca="1" si="87"/>
        <v>VIGENTE</v>
      </c>
      <c r="L256" s="1">
        <f t="shared" si="88"/>
        <v>0</v>
      </c>
      <c r="M256" s="1">
        <f t="shared" si="89"/>
        <v>10</v>
      </c>
    </row>
    <row r="257" spans="1:13" x14ac:dyDescent="0.25">
      <c r="A257" s="1" t="s">
        <v>589</v>
      </c>
      <c r="B257" s="2">
        <v>46147</v>
      </c>
      <c r="C257" s="1"/>
      <c r="D257" s="1"/>
      <c r="E257" s="7">
        <v>26000</v>
      </c>
      <c r="F257" s="14">
        <f t="shared" si="84"/>
        <v>208000</v>
      </c>
      <c r="G257" s="7">
        <v>208000</v>
      </c>
      <c r="H257" s="10"/>
      <c r="I257" s="2">
        <f t="shared" si="85"/>
        <v>46147</v>
      </c>
      <c r="J257" s="1">
        <f t="shared" ca="1" si="86"/>
        <v>-2</v>
      </c>
      <c r="K257" s="3" t="str">
        <f t="shared" ca="1" si="87"/>
        <v>VENCIDO</v>
      </c>
      <c r="L257" s="1">
        <f t="shared" si="88"/>
        <v>0</v>
      </c>
      <c r="M257" s="1">
        <f t="shared" si="89"/>
        <v>8</v>
      </c>
    </row>
    <row r="258" spans="1:13" x14ac:dyDescent="0.25">
      <c r="A258" s="1" t="s">
        <v>596</v>
      </c>
      <c r="B258" s="2">
        <v>46147</v>
      </c>
      <c r="C258" s="1"/>
      <c r="D258" s="1"/>
      <c r="E258" s="7">
        <v>28000</v>
      </c>
      <c r="F258" s="14">
        <f t="shared" si="84"/>
        <v>448000</v>
      </c>
      <c r="G258" s="7">
        <v>448000</v>
      </c>
      <c r="H258" s="10"/>
      <c r="I258" s="2">
        <f t="shared" si="85"/>
        <v>46147</v>
      </c>
      <c r="J258" s="1">
        <f t="shared" ca="1" si="86"/>
        <v>-2</v>
      </c>
      <c r="K258" s="3" t="str">
        <f t="shared" ca="1" si="87"/>
        <v>VENCIDO</v>
      </c>
      <c r="L258" s="1">
        <f t="shared" si="88"/>
        <v>0</v>
      </c>
      <c r="M258" s="1">
        <f t="shared" si="89"/>
        <v>16</v>
      </c>
    </row>
    <row r="259" spans="1:13" x14ac:dyDescent="0.25">
      <c r="A259" s="1" t="s">
        <v>600</v>
      </c>
      <c r="B259" s="2">
        <v>46148</v>
      </c>
      <c r="C259" s="1" t="s">
        <v>13</v>
      </c>
      <c r="D259" s="1">
        <v>7</v>
      </c>
      <c r="E259" s="7">
        <v>57000</v>
      </c>
      <c r="F259" s="14">
        <f t="shared" si="84"/>
        <v>570000</v>
      </c>
      <c r="G259" s="7">
        <v>570000</v>
      </c>
      <c r="H259" s="10"/>
      <c r="I259" s="2">
        <f t="shared" si="85"/>
        <v>46155</v>
      </c>
      <c r="J259" s="1">
        <f t="shared" ca="1" si="86"/>
        <v>6</v>
      </c>
      <c r="K259" s="3" t="str">
        <f t="shared" ca="1" si="87"/>
        <v>VIGENTE</v>
      </c>
      <c r="L259" s="1">
        <f t="shared" si="88"/>
        <v>0</v>
      </c>
      <c r="M259" s="1">
        <f t="shared" si="89"/>
        <v>10</v>
      </c>
    </row>
    <row r="260" spans="1:13" x14ac:dyDescent="0.25">
      <c r="A260" s="1"/>
      <c r="B260" s="2"/>
      <c r="C260" s="1"/>
      <c r="D260" s="1"/>
      <c r="E260" s="7"/>
      <c r="F260" s="14">
        <f t="shared" si="84"/>
        <v>0</v>
      </c>
      <c r="G260" s="7"/>
      <c r="H260" s="10"/>
      <c r="I260" s="2" t="str">
        <f t="shared" si="85"/>
        <v/>
      </c>
      <c r="J260" s="1" t="str">
        <f t="shared" ca="1" si="86"/>
        <v/>
      </c>
      <c r="K260" s="3" t="str">
        <f t="shared" ca="1" si="87"/>
        <v/>
      </c>
      <c r="L260" s="1">
        <f t="shared" si="88"/>
        <v>0</v>
      </c>
      <c r="M260" s="1">
        <f t="shared" si="89"/>
        <v>0</v>
      </c>
    </row>
    <row r="261" spans="1:13" x14ac:dyDescent="0.25">
      <c r="A261" s="1"/>
      <c r="B261" s="2"/>
      <c r="C261" s="1"/>
      <c r="D261" s="1"/>
      <c r="E261" s="7"/>
      <c r="F261" s="14">
        <f t="shared" si="84"/>
        <v>0</v>
      </c>
      <c r="G261" s="7"/>
      <c r="H261" s="10"/>
      <c r="I261" s="2" t="str">
        <f t="shared" si="85"/>
        <v/>
      </c>
      <c r="J261" s="1" t="str">
        <f t="shared" ca="1" si="86"/>
        <v/>
      </c>
      <c r="K261" s="3" t="str">
        <f t="shared" ca="1" si="87"/>
        <v/>
      </c>
      <c r="L261" s="1">
        <f t="shared" si="88"/>
        <v>0</v>
      </c>
      <c r="M261" s="1">
        <f t="shared" si="89"/>
        <v>0</v>
      </c>
    </row>
    <row r="262" spans="1:13" x14ac:dyDescent="0.25">
      <c r="A262" s="1"/>
      <c r="B262" s="2"/>
      <c r="C262" s="1"/>
      <c r="D262" s="1"/>
      <c r="E262" s="7"/>
      <c r="F262" s="14">
        <f t="shared" si="84"/>
        <v>0</v>
      </c>
      <c r="G262" s="7"/>
      <c r="H262" s="10"/>
      <c r="I262" s="2" t="str">
        <f t="shared" si="85"/>
        <v/>
      </c>
      <c r="J262" s="1" t="str">
        <f t="shared" ca="1" si="86"/>
        <v/>
      </c>
      <c r="K262" s="3" t="str">
        <f t="shared" ca="1" si="87"/>
        <v/>
      </c>
      <c r="L262" s="1">
        <f t="shared" si="88"/>
        <v>0</v>
      </c>
      <c r="M262" s="1">
        <f t="shared" si="89"/>
        <v>0</v>
      </c>
    </row>
    <row r="263" spans="1:13" x14ac:dyDescent="0.25">
      <c r="A263" s="1"/>
      <c r="B263" s="2"/>
      <c r="C263" s="1"/>
      <c r="D263" s="1"/>
      <c r="E263" s="7"/>
      <c r="F263" s="14">
        <f t="shared" si="84"/>
        <v>0</v>
      </c>
      <c r="G263" s="7"/>
      <c r="H263" s="10"/>
      <c r="I263" s="2" t="str">
        <f t="shared" si="85"/>
        <v/>
      </c>
      <c r="J263" s="1" t="str">
        <f t="shared" ca="1" si="86"/>
        <v/>
      </c>
      <c r="K263" s="3" t="str">
        <f t="shared" ca="1" si="87"/>
        <v/>
      </c>
      <c r="L263" s="1">
        <f t="shared" si="88"/>
        <v>0</v>
      </c>
      <c r="M263" s="1">
        <f t="shared" si="89"/>
        <v>0</v>
      </c>
    </row>
    <row r="264" spans="1:13" x14ac:dyDescent="0.25">
      <c r="A264" s="1"/>
      <c r="B264" s="2"/>
      <c r="C264" s="1"/>
      <c r="D264" s="1"/>
      <c r="E264" s="7"/>
      <c r="F264" s="14">
        <f t="shared" si="84"/>
        <v>0</v>
      </c>
      <c r="G264" s="7"/>
      <c r="H264" s="10"/>
      <c r="I264" s="2" t="str">
        <f t="shared" si="85"/>
        <v/>
      </c>
      <c r="J264" s="1" t="str">
        <f t="shared" ca="1" si="86"/>
        <v/>
      </c>
      <c r="K264" s="3" t="str">
        <f t="shared" ca="1" si="87"/>
        <v/>
      </c>
      <c r="L264" s="1">
        <f t="shared" si="88"/>
        <v>0</v>
      </c>
      <c r="M264" s="1">
        <f t="shared" si="89"/>
        <v>0</v>
      </c>
    </row>
    <row r="265" spans="1:13" x14ac:dyDescent="0.25">
      <c r="A265" s="1"/>
      <c r="B265" s="2"/>
      <c r="C265" s="1"/>
      <c r="D265" s="1"/>
      <c r="E265" s="7"/>
      <c r="F265" s="14">
        <f t="shared" si="84"/>
        <v>0</v>
      </c>
      <c r="G265" s="7"/>
      <c r="H265" s="10"/>
      <c r="I265" s="2" t="str">
        <f t="shared" si="85"/>
        <v/>
      </c>
      <c r="J265" s="1" t="str">
        <f t="shared" ca="1" si="86"/>
        <v/>
      </c>
      <c r="K265" s="3" t="str">
        <f t="shared" ca="1" si="87"/>
        <v/>
      </c>
      <c r="L265" s="1">
        <f t="shared" si="88"/>
        <v>0</v>
      </c>
      <c r="M265" s="1">
        <f t="shared" si="89"/>
        <v>0</v>
      </c>
    </row>
    <row r="266" spans="1:13" x14ac:dyDescent="0.25">
      <c r="A266" s="1"/>
      <c r="B266" s="2"/>
      <c r="C266" s="1"/>
      <c r="D266" s="1"/>
      <c r="E266" s="7"/>
      <c r="F266" s="14">
        <f t="shared" si="84"/>
        <v>0</v>
      </c>
      <c r="G266" s="7"/>
      <c r="H266" s="10"/>
      <c r="I266" s="2" t="str">
        <f t="shared" si="85"/>
        <v/>
      </c>
      <c r="J266" s="1" t="str">
        <f t="shared" ca="1" si="86"/>
        <v/>
      </c>
      <c r="K266" s="3" t="str">
        <f t="shared" ca="1" si="87"/>
        <v/>
      </c>
      <c r="L266" s="1">
        <f t="shared" si="88"/>
        <v>0</v>
      </c>
      <c r="M266" s="1">
        <f t="shared" si="89"/>
        <v>0</v>
      </c>
    </row>
    <row r="267" spans="1:13" x14ac:dyDescent="0.25">
      <c r="A267" s="1"/>
      <c r="B267" s="2"/>
      <c r="C267" s="1"/>
      <c r="D267" s="1"/>
      <c r="E267" s="7"/>
      <c r="F267" s="14">
        <f t="shared" si="84"/>
        <v>0</v>
      </c>
      <c r="G267" s="7"/>
      <c r="H267" s="10"/>
      <c r="I267" s="2" t="str">
        <f t="shared" si="85"/>
        <v/>
      </c>
      <c r="J267" s="1" t="str">
        <f t="shared" ca="1" si="86"/>
        <v/>
      </c>
      <c r="K267" s="3" t="str">
        <f t="shared" ca="1" si="87"/>
        <v/>
      </c>
      <c r="L267" s="1">
        <f t="shared" si="88"/>
        <v>0</v>
      </c>
      <c r="M267" s="1">
        <f t="shared" si="89"/>
        <v>0</v>
      </c>
    </row>
    <row r="268" spans="1:13" x14ac:dyDescent="0.25">
      <c r="A268" s="1"/>
      <c r="B268" s="2"/>
      <c r="C268" s="1"/>
      <c r="D268" s="1"/>
      <c r="E268" s="7"/>
      <c r="F268" s="14">
        <f t="shared" si="84"/>
        <v>0</v>
      </c>
      <c r="G268" s="7"/>
      <c r="H268" s="10"/>
      <c r="I268" s="2" t="str">
        <f t="shared" si="85"/>
        <v/>
      </c>
      <c r="J268" s="1" t="str">
        <f t="shared" ca="1" si="86"/>
        <v/>
      </c>
      <c r="K268" s="3" t="str">
        <f t="shared" ca="1" si="87"/>
        <v/>
      </c>
      <c r="L268" s="1">
        <f t="shared" si="88"/>
        <v>0</v>
      </c>
      <c r="M268" s="1">
        <f t="shared" si="89"/>
        <v>0</v>
      </c>
    </row>
    <row r="269" spans="1:13" x14ac:dyDescent="0.25">
      <c r="A269" s="1"/>
      <c r="B269" s="2"/>
      <c r="C269" s="1"/>
      <c r="D269" s="1"/>
      <c r="E269" s="7"/>
      <c r="F269" s="14">
        <f t="shared" si="84"/>
        <v>0</v>
      </c>
      <c r="G269" s="7"/>
      <c r="H269" s="10"/>
      <c r="I269" s="2" t="str">
        <f t="shared" si="85"/>
        <v/>
      </c>
      <c r="J269" s="1" t="str">
        <f t="shared" ca="1" si="86"/>
        <v/>
      </c>
      <c r="K269" s="3" t="str">
        <f t="shared" ca="1" si="87"/>
        <v/>
      </c>
      <c r="L269" s="1">
        <f t="shared" si="88"/>
        <v>0</v>
      </c>
      <c r="M269" s="1">
        <f t="shared" si="89"/>
        <v>0</v>
      </c>
    </row>
    <row r="270" spans="1:13" x14ac:dyDescent="0.25">
      <c r="A270" s="1"/>
      <c r="B270" s="2"/>
      <c r="C270" s="1"/>
      <c r="D270" s="1"/>
      <c r="E270" s="7"/>
      <c r="F270" s="14">
        <f t="shared" si="84"/>
        <v>0</v>
      </c>
      <c r="G270" s="7"/>
      <c r="H270" s="10"/>
      <c r="I270" s="2" t="str">
        <f t="shared" si="85"/>
        <v/>
      </c>
      <c r="J270" s="1" t="str">
        <f t="shared" ca="1" si="86"/>
        <v/>
      </c>
      <c r="K270" s="3" t="str">
        <f t="shared" ca="1" si="87"/>
        <v/>
      </c>
      <c r="L270" s="1">
        <f t="shared" si="88"/>
        <v>0</v>
      </c>
      <c r="M270" s="1">
        <f t="shared" si="89"/>
        <v>0</v>
      </c>
    </row>
    <row r="271" spans="1:13" x14ac:dyDescent="0.25">
      <c r="A271" s="1"/>
      <c r="B271" s="2"/>
      <c r="C271" s="1"/>
      <c r="D271" s="1"/>
      <c r="E271" s="7"/>
      <c r="F271" s="14">
        <f t="shared" si="84"/>
        <v>0</v>
      </c>
      <c r="G271" s="7"/>
      <c r="H271" s="10"/>
      <c r="I271" s="2" t="str">
        <f t="shared" si="85"/>
        <v/>
      </c>
      <c r="J271" s="1" t="str">
        <f t="shared" ca="1" si="86"/>
        <v/>
      </c>
      <c r="K271" s="3" t="str">
        <f t="shared" ca="1" si="87"/>
        <v/>
      </c>
      <c r="L271" s="1">
        <f t="shared" si="88"/>
        <v>0</v>
      </c>
      <c r="M271" s="1">
        <f t="shared" si="89"/>
        <v>0</v>
      </c>
    </row>
    <row r="272" spans="1:13" x14ac:dyDescent="0.25">
      <c r="A272" s="1"/>
      <c r="B272" s="2"/>
      <c r="C272" s="1"/>
      <c r="D272" s="1"/>
      <c r="E272" s="7"/>
      <c r="F272" s="14">
        <f t="shared" si="84"/>
        <v>0</v>
      </c>
      <c r="G272" s="7"/>
      <c r="H272" s="10"/>
      <c r="I272" s="2" t="str">
        <f t="shared" si="85"/>
        <v/>
      </c>
      <c r="J272" s="1" t="str">
        <f t="shared" ca="1" si="86"/>
        <v/>
      </c>
      <c r="K272" s="3" t="str">
        <f t="shared" ca="1" si="87"/>
        <v/>
      </c>
      <c r="L272" s="1">
        <f t="shared" si="88"/>
        <v>0</v>
      </c>
      <c r="M272" s="1">
        <f t="shared" si="89"/>
        <v>0</v>
      </c>
    </row>
    <row r="273" spans="1:13" x14ac:dyDescent="0.25">
      <c r="A273" s="1"/>
      <c r="B273" s="2"/>
      <c r="C273" s="1"/>
      <c r="D273" s="1"/>
      <c r="E273" s="7"/>
      <c r="F273" s="14">
        <f t="shared" ref="F273:F280" si="90">G273-H273</f>
        <v>0</v>
      </c>
      <c r="G273" s="7"/>
      <c r="H273" s="10"/>
      <c r="I273" s="2" t="str">
        <f t="shared" ref="I273:I280" si="91">IF(F273=0,"",IF(C273="CRED",B273+(INT((G273-F273)/E273)+1)*D273,B273+INT((G273-F273)/E273)*D273))</f>
        <v/>
      </c>
      <c r="J273" s="1" t="str">
        <f t="shared" ref="J273:J280" ca="1" si="92">IF(I273="","",I273-TODAY())</f>
        <v/>
      </c>
      <c r="K273" s="3" t="str">
        <f t="shared" ref="K273:K280" ca="1" si="93">IF(J273="","",IF(J273&lt;0,"VENCIDO",IF(J273&lt;=1,"PRÓXIMO","VIGENTE")))</f>
        <v/>
      </c>
      <c r="L273" s="1">
        <f t="shared" ref="L273:L280" si="94">IF(F273=G273,0,INT((G273-F273)/E273))</f>
        <v>0</v>
      </c>
      <c r="M273" s="1">
        <f t="shared" ref="M273:M280" si="95">IF(F273=0,0,INT(F273/E273)+(IF(MOD(F273,E273)&gt;0,1,0)))</f>
        <v>0</v>
      </c>
    </row>
    <row r="274" spans="1:13" x14ac:dyDescent="0.25">
      <c r="A274" s="1"/>
      <c r="B274" s="2"/>
      <c r="C274" s="1"/>
      <c r="D274" s="1"/>
      <c r="E274" s="7"/>
      <c r="F274" s="14">
        <f t="shared" si="90"/>
        <v>0</v>
      </c>
      <c r="G274" s="7"/>
      <c r="H274" s="10"/>
      <c r="I274" s="2" t="str">
        <f t="shared" si="91"/>
        <v/>
      </c>
      <c r="J274" s="1" t="str">
        <f t="shared" ca="1" si="92"/>
        <v/>
      </c>
      <c r="K274" s="3" t="str">
        <f t="shared" ca="1" si="93"/>
        <v/>
      </c>
      <c r="L274" s="1">
        <f t="shared" si="94"/>
        <v>0</v>
      </c>
      <c r="M274" s="1">
        <f t="shared" si="95"/>
        <v>0</v>
      </c>
    </row>
    <row r="275" spans="1:13" x14ac:dyDescent="0.25">
      <c r="A275" s="1"/>
      <c r="B275" s="2"/>
      <c r="C275" s="1"/>
      <c r="D275" s="1"/>
      <c r="E275" s="7"/>
      <c r="F275" s="14">
        <f t="shared" si="90"/>
        <v>0</v>
      </c>
      <c r="G275" s="7"/>
      <c r="H275" s="10"/>
      <c r="I275" s="2" t="str">
        <f t="shared" si="91"/>
        <v/>
      </c>
      <c r="J275" s="1" t="str">
        <f t="shared" ca="1" si="92"/>
        <v/>
      </c>
      <c r="K275" s="3" t="str">
        <f t="shared" ca="1" si="93"/>
        <v/>
      </c>
      <c r="L275" s="1">
        <f t="shared" si="94"/>
        <v>0</v>
      </c>
      <c r="M275" s="1">
        <f t="shared" si="95"/>
        <v>0</v>
      </c>
    </row>
    <row r="276" spans="1:13" x14ac:dyDescent="0.25">
      <c r="A276" s="1"/>
      <c r="B276" s="2"/>
      <c r="C276" s="1"/>
      <c r="D276" s="1"/>
      <c r="E276" s="7"/>
      <c r="F276" s="14">
        <f t="shared" si="90"/>
        <v>0</v>
      </c>
      <c r="G276" s="7"/>
      <c r="H276" s="10"/>
      <c r="I276" s="2" t="str">
        <f t="shared" si="91"/>
        <v/>
      </c>
      <c r="J276" s="1" t="str">
        <f t="shared" ca="1" si="92"/>
        <v/>
      </c>
      <c r="K276" s="3" t="str">
        <f t="shared" ca="1" si="93"/>
        <v/>
      </c>
      <c r="L276" s="1">
        <f t="shared" si="94"/>
        <v>0</v>
      </c>
      <c r="M276" s="1">
        <f t="shared" si="95"/>
        <v>0</v>
      </c>
    </row>
    <row r="277" spans="1:13" x14ac:dyDescent="0.25">
      <c r="A277" s="1"/>
      <c r="B277" s="2"/>
      <c r="C277" s="1"/>
      <c r="D277" s="1"/>
      <c r="E277" s="7"/>
      <c r="F277" s="14">
        <f t="shared" si="90"/>
        <v>0</v>
      </c>
      <c r="G277" s="7"/>
      <c r="H277" s="10"/>
      <c r="I277" s="2" t="str">
        <f t="shared" si="91"/>
        <v/>
      </c>
      <c r="J277" s="1" t="str">
        <f t="shared" ca="1" si="92"/>
        <v/>
      </c>
      <c r="K277" s="3" t="str">
        <f t="shared" ca="1" si="93"/>
        <v/>
      </c>
      <c r="L277" s="1">
        <f t="shared" si="94"/>
        <v>0</v>
      </c>
      <c r="M277" s="1">
        <f t="shared" si="95"/>
        <v>0</v>
      </c>
    </row>
    <row r="278" spans="1:13" x14ac:dyDescent="0.25">
      <c r="A278" s="1"/>
      <c r="B278" s="2"/>
      <c r="C278" s="1"/>
      <c r="D278" s="1"/>
      <c r="E278" s="7"/>
      <c r="F278" s="14">
        <f t="shared" si="90"/>
        <v>0</v>
      </c>
      <c r="G278" s="7"/>
      <c r="H278" s="10"/>
      <c r="I278" s="2" t="str">
        <f t="shared" si="91"/>
        <v/>
      </c>
      <c r="J278" s="1" t="str">
        <f t="shared" ca="1" si="92"/>
        <v/>
      </c>
      <c r="K278" s="3" t="str">
        <f t="shared" ca="1" si="93"/>
        <v/>
      </c>
      <c r="L278" s="1">
        <f t="shared" si="94"/>
        <v>0</v>
      </c>
      <c r="M278" s="1">
        <f t="shared" si="95"/>
        <v>0</v>
      </c>
    </row>
    <row r="279" spans="1:13" x14ac:dyDescent="0.25">
      <c r="A279" s="1"/>
      <c r="B279" s="2"/>
      <c r="C279" s="1"/>
      <c r="D279" s="1"/>
      <c r="E279" s="7"/>
      <c r="F279" s="14">
        <f t="shared" si="90"/>
        <v>0</v>
      </c>
      <c r="G279" s="7"/>
      <c r="H279" s="10"/>
      <c r="I279" s="2" t="str">
        <f t="shared" si="91"/>
        <v/>
      </c>
      <c r="J279" s="1" t="str">
        <f t="shared" ca="1" si="92"/>
        <v/>
      </c>
      <c r="K279" s="3" t="str">
        <f t="shared" ca="1" si="93"/>
        <v/>
      </c>
      <c r="L279" s="1">
        <f t="shared" si="94"/>
        <v>0</v>
      </c>
      <c r="M279" s="1">
        <f t="shared" si="95"/>
        <v>0</v>
      </c>
    </row>
    <row r="280" spans="1:13" x14ac:dyDescent="0.25">
      <c r="A280" s="1"/>
      <c r="B280" s="2"/>
      <c r="C280" s="1"/>
      <c r="D280" s="1"/>
      <c r="E280" s="7"/>
      <c r="F280" s="14">
        <f t="shared" si="90"/>
        <v>0</v>
      </c>
      <c r="G280" s="7"/>
      <c r="H280" s="10"/>
      <c r="I280" s="2" t="str">
        <f t="shared" si="91"/>
        <v/>
      </c>
      <c r="J280" s="1" t="str">
        <f t="shared" ca="1" si="92"/>
        <v/>
      </c>
      <c r="K280" s="3" t="str">
        <f t="shared" ca="1" si="93"/>
        <v/>
      </c>
      <c r="L280" s="1">
        <f t="shared" si="94"/>
        <v>0</v>
      </c>
      <c r="M280" s="1">
        <f t="shared" si="95"/>
        <v>0</v>
      </c>
    </row>
  </sheetData>
  <conditionalFormatting sqref="K2:K280">
    <cfRule type="expression" dxfId="11" priority="1">
      <formula>$K2="VIGENTE"</formula>
    </cfRule>
    <cfRule type="expression" dxfId="10" priority="2">
      <formula>$K2="PRÓXIMO"</formula>
    </cfRule>
    <cfRule type="expression" dxfId="9" priority="3">
      <formula>$K2="VENCIDO"</formula>
    </cfRule>
  </conditionalFormatting>
  <pageMargins left="0.7" right="0.7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M233"/>
  <sheetViews>
    <sheetView topLeftCell="A32" zoomScale="80" zoomScaleNormal="80" workbookViewId="0">
      <selection activeCell="I47" sqref="I47"/>
    </sheetView>
  </sheetViews>
  <sheetFormatPr baseColWidth="10" defaultColWidth="8.5703125" defaultRowHeight="15" x14ac:dyDescent="0.25"/>
  <cols>
    <col min="1" max="1" width="23" customWidth="1"/>
    <col min="2" max="2" width="10.42578125" customWidth="1"/>
    <col min="3" max="3" width="5.42578125" customWidth="1"/>
    <col min="4" max="4" width="8.140625" customWidth="1"/>
    <col min="5" max="5" width="14.140625" customWidth="1"/>
    <col min="6" max="6" width="16.7109375" style="25" customWidth="1"/>
    <col min="7" max="7" width="15.42578125" customWidth="1"/>
    <col min="8" max="8" width="15.5703125" style="16" customWidth="1"/>
    <col min="9" max="9" width="12.42578125" customWidth="1"/>
    <col min="10" max="10" width="6.5703125" customWidth="1"/>
    <col min="11" max="11" width="10" customWidth="1"/>
    <col min="12" max="12" width="7.42578125" customWidth="1"/>
    <col min="13" max="13" width="7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23" t="s">
        <v>5</v>
      </c>
      <c r="G1" s="6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43</v>
      </c>
    </row>
    <row r="2" spans="1:13" x14ac:dyDescent="0.25">
      <c r="A2" s="32"/>
      <c r="B2" s="32"/>
      <c r="C2" s="32"/>
      <c r="D2" s="32"/>
      <c r="E2" s="33"/>
      <c r="F2" s="34"/>
      <c r="G2" s="33"/>
      <c r="H2" s="35"/>
      <c r="I2" s="32"/>
      <c r="J2" s="32"/>
      <c r="K2" s="32"/>
      <c r="L2" s="32"/>
      <c r="M2" s="32"/>
    </row>
    <row r="3" spans="1:13" x14ac:dyDescent="0.25">
      <c r="A3" s="5" t="s">
        <v>54</v>
      </c>
      <c r="B3" s="2">
        <v>45897</v>
      </c>
      <c r="C3" s="1"/>
      <c r="D3" s="1">
        <v>7</v>
      </c>
      <c r="E3" s="7">
        <v>35000</v>
      </c>
      <c r="F3" s="24">
        <f t="shared" ref="F3:F14" si="0">G3-H3</f>
        <v>70000</v>
      </c>
      <c r="G3" s="7">
        <v>1050000</v>
      </c>
      <c r="H3" s="10">
        <v>980000</v>
      </c>
      <c r="I3" s="2">
        <f>IF(F3=0,"",IF(C3="CRED",B3+(INT((G3-F3)/E3)+1)*D3,B3+INT((G3-F3)/E3)*D3))</f>
        <v>46093</v>
      </c>
      <c r="J3" s="1">
        <f ca="1">IF(I3="","",I3-TODAY())</f>
        <v>-56</v>
      </c>
      <c r="K3" s="3" t="str">
        <f ca="1">IF(J3="","",IF(J3&lt;0,"VENCIDO",IF(J3&lt;=1,"PRÓXIMO","VIGENTE")))</f>
        <v>VENCIDO</v>
      </c>
      <c r="L3" s="1">
        <f>IF(F3=G3,0,INT((G3-F3)/E3))</f>
        <v>28</v>
      </c>
      <c r="M3" s="1">
        <f>IF(F3=0,0,INT(F3/E3)+(IF(MOD(F3,E3)&gt;0,1,0)))</f>
        <v>2</v>
      </c>
    </row>
    <row r="4" spans="1:13" x14ac:dyDescent="0.25">
      <c r="A4" s="1" t="s">
        <v>67</v>
      </c>
      <c r="B4" s="2">
        <v>45985</v>
      </c>
      <c r="C4" s="1" t="s">
        <v>13</v>
      </c>
      <c r="D4" s="1">
        <v>7</v>
      </c>
      <c r="E4" s="7">
        <v>57000</v>
      </c>
      <c r="F4" s="24">
        <f t="shared" si="0"/>
        <v>165000</v>
      </c>
      <c r="G4" s="7">
        <v>570000</v>
      </c>
      <c r="H4" s="10">
        <v>405000</v>
      </c>
      <c r="I4" s="2">
        <f t="shared" ref="I4:I14" si="1">IF(F4=0,"",IF(C4="CRED",B4+(INT((G4-F4)/E4)+1)*D4,B4+INT((G4-F4)/E4)*D4))</f>
        <v>46041</v>
      </c>
      <c r="J4" s="1">
        <f t="shared" ref="J4:J14" ca="1" si="2">IF(I4="","",I4-TODAY())</f>
        <v>-108</v>
      </c>
      <c r="K4" s="3" t="str">
        <f t="shared" ref="K4:K14" ca="1" si="3">IF(J4="","",IF(J4&lt;0,"VENCIDO",IF(J4&lt;=1,"PRÓXIMO","VIGENTE")))</f>
        <v>VENCIDO</v>
      </c>
      <c r="L4" s="1">
        <f t="shared" ref="L4:L14" si="4">IF(F4=G4,0,INT((G4-F4)/E4))</f>
        <v>7</v>
      </c>
      <c r="M4" s="1">
        <f t="shared" ref="M4:M14" si="5">IF(F4=0,0,INT(F4/E4)+(IF(MOD(F4,E4)&gt;0,1,0)))</f>
        <v>3</v>
      </c>
    </row>
    <row r="5" spans="1:13" x14ac:dyDescent="0.25">
      <c r="A5" s="1" t="s">
        <v>58</v>
      </c>
      <c r="B5" s="2">
        <v>45976</v>
      </c>
      <c r="C5" s="1" t="s">
        <v>13</v>
      </c>
      <c r="D5" s="1">
        <v>7</v>
      </c>
      <c r="E5" s="7">
        <v>66500</v>
      </c>
      <c r="F5" s="24">
        <f t="shared" si="0"/>
        <v>332000</v>
      </c>
      <c r="G5" s="7">
        <v>665000</v>
      </c>
      <c r="H5" s="10">
        <v>333000</v>
      </c>
      <c r="I5" s="2">
        <f t="shared" si="1"/>
        <v>46018</v>
      </c>
      <c r="J5" s="1">
        <f t="shared" ca="1" si="2"/>
        <v>-131</v>
      </c>
      <c r="K5" s="3" t="str">
        <f t="shared" ca="1" si="3"/>
        <v>VENCIDO</v>
      </c>
      <c r="L5" s="1">
        <f t="shared" si="4"/>
        <v>5</v>
      </c>
      <c r="M5" s="1">
        <f t="shared" si="5"/>
        <v>5</v>
      </c>
    </row>
    <row r="6" spans="1:13" x14ac:dyDescent="0.25">
      <c r="A6" s="1" t="s">
        <v>59</v>
      </c>
      <c r="B6" s="2">
        <v>45969</v>
      </c>
      <c r="C6" s="1" t="s">
        <v>13</v>
      </c>
      <c r="D6" s="1">
        <v>7</v>
      </c>
      <c r="E6" s="7">
        <v>57000</v>
      </c>
      <c r="F6" s="24">
        <f t="shared" si="0"/>
        <v>164000</v>
      </c>
      <c r="G6" s="7">
        <v>570000</v>
      </c>
      <c r="H6" s="10">
        <v>406000</v>
      </c>
      <c r="I6" s="2">
        <f t="shared" si="1"/>
        <v>46025</v>
      </c>
      <c r="J6" s="1">
        <f t="shared" ca="1" si="2"/>
        <v>-124</v>
      </c>
      <c r="K6" s="3" t="str">
        <f t="shared" ca="1" si="3"/>
        <v>VENCIDO</v>
      </c>
      <c r="L6" s="1">
        <f t="shared" si="4"/>
        <v>7</v>
      </c>
      <c r="M6" s="1">
        <f t="shared" si="5"/>
        <v>3</v>
      </c>
    </row>
    <row r="7" spans="1:13" x14ac:dyDescent="0.25">
      <c r="A7" s="22" t="s">
        <v>63</v>
      </c>
      <c r="B7" s="2">
        <v>45969</v>
      </c>
      <c r="C7" s="1"/>
      <c r="D7" s="1">
        <v>7</v>
      </c>
      <c r="E7" s="7">
        <v>28000</v>
      </c>
      <c r="F7" s="24">
        <f t="shared" si="0"/>
        <v>354000</v>
      </c>
      <c r="G7" s="7">
        <v>840000</v>
      </c>
      <c r="H7" s="10">
        <v>486000</v>
      </c>
      <c r="I7" s="2">
        <f t="shared" si="1"/>
        <v>46088</v>
      </c>
      <c r="J7" s="1">
        <f t="shared" ca="1" si="2"/>
        <v>-61</v>
      </c>
      <c r="K7" s="3" t="str">
        <f t="shared" ca="1" si="3"/>
        <v>VENCIDO</v>
      </c>
      <c r="L7" s="1">
        <f t="shared" si="4"/>
        <v>17</v>
      </c>
      <c r="M7" s="1">
        <f t="shared" si="5"/>
        <v>13</v>
      </c>
    </row>
    <row r="8" spans="1:13" x14ac:dyDescent="0.25">
      <c r="A8" s="1" t="s">
        <v>75</v>
      </c>
      <c r="B8" s="2">
        <v>46003</v>
      </c>
      <c r="C8" s="1"/>
      <c r="D8" s="1">
        <v>7</v>
      </c>
      <c r="E8" s="7">
        <v>35000</v>
      </c>
      <c r="F8" s="24">
        <f t="shared" si="0"/>
        <v>705000</v>
      </c>
      <c r="G8" s="7">
        <v>1050000</v>
      </c>
      <c r="H8" s="10">
        <v>345000</v>
      </c>
      <c r="I8" s="2">
        <f t="shared" si="1"/>
        <v>46066</v>
      </c>
      <c r="J8" s="1">
        <f t="shared" ca="1" si="2"/>
        <v>-83</v>
      </c>
      <c r="K8" s="3" t="str">
        <f t="shared" ca="1" si="3"/>
        <v>VENCIDO</v>
      </c>
      <c r="L8" s="1">
        <f t="shared" si="4"/>
        <v>9</v>
      </c>
      <c r="M8" s="1">
        <f t="shared" si="5"/>
        <v>21</v>
      </c>
    </row>
    <row r="9" spans="1:13" x14ac:dyDescent="0.25">
      <c r="A9" s="1" t="s">
        <v>77</v>
      </c>
      <c r="B9" s="2">
        <v>46006</v>
      </c>
      <c r="C9" s="1"/>
      <c r="D9" s="1">
        <v>7</v>
      </c>
      <c r="E9" s="7">
        <v>35000</v>
      </c>
      <c r="F9" s="24">
        <f t="shared" si="0"/>
        <v>140000</v>
      </c>
      <c r="G9" s="7">
        <v>910000</v>
      </c>
      <c r="H9" s="10">
        <v>770000</v>
      </c>
      <c r="I9" s="2">
        <f t="shared" si="1"/>
        <v>46160</v>
      </c>
      <c r="J9" s="1">
        <f t="shared" ca="1" si="2"/>
        <v>11</v>
      </c>
      <c r="K9" s="3" t="str">
        <f t="shared" ca="1" si="3"/>
        <v>VIGENTE</v>
      </c>
      <c r="L9" s="1">
        <f t="shared" si="4"/>
        <v>22</v>
      </c>
      <c r="M9" s="1">
        <f t="shared" si="5"/>
        <v>4</v>
      </c>
    </row>
    <row r="10" spans="1:13" x14ac:dyDescent="0.25">
      <c r="A10" s="1" t="s">
        <v>79</v>
      </c>
      <c r="B10" s="2">
        <v>46007</v>
      </c>
      <c r="C10" s="1"/>
      <c r="D10" s="1">
        <v>7</v>
      </c>
      <c r="E10" s="7">
        <v>40000</v>
      </c>
      <c r="F10" s="24">
        <f t="shared" si="0"/>
        <v>400000</v>
      </c>
      <c r="G10" s="7">
        <v>1200000</v>
      </c>
      <c r="H10" s="10">
        <v>800000</v>
      </c>
      <c r="I10" s="2">
        <f t="shared" si="1"/>
        <v>46147</v>
      </c>
      <c r="J10" s="1">
        <f t="shared" ca="1" si="2"/>
        <v>-2</v>
      </c>
      <c r="K10" s="3" t="str">
        <f t="shared" ca="1" si="3"/>
        <v>VENCIDO</v>
      </c>
      <c r="L10" s="1">
        <f t="shared" si="4"/>
        <v>20</v>
      </c>
      <c r="M10" s="1">
        <f t="shared" si="5"/>
        <v>10</v>
      </c>
    </row>
    <row r="11" spans="1:13" x14ac:dyDescent="0.25">
      <c r="A11" s="1" t="s">
        <v>97</v>
      </c>
      <c r="B11" s="2">
        <v>46017</v>
      </c>
      <c r="C11" s="1" t="s">
        <v>13</v>
      </c>
      <c r="D11" s="1">
        <v>7</v>
      </c>
      <c r="E11" s="7">
        <v>65000</v>
      </c>
      <c r="F11" s="24">
        <f t="shared" si="0"/>
        <v>845000</v>
      </c>
      <c r="G11" s="7">
        <v>1950000</v>
      </c>
      <c r="H11" s="10">
        <v>1105000</v>
      </c>
      <c r="I11" s="2">
        <f t="shared" si="1"/>
        <v>46143</v>
      </c>
      <c r="J11" s="1">
        <f t="shared" ca="1" si="2"/>
        <v>-6</v>
      </c>
      <c r="K11" s="3" t="str">
        <f t="shared" ca="1" si="3"/>
        <v>VENCIDO</v>
      </c>
      <c r="L11" s="1">
        <f t="shared" si="4"/>
        <v>17</v>
      </c>
      <c r="M11" s="1">
        <f t="shared" si="5"/>
        <v>13</v>
      </c>
    </row>
    <row r="12" spans="1:13" x14ac:dyDescent="0.25">
      <c r="A12" s="1" t="s">
        <v>108</v>
      </c>
      <c r="B12" s="2">
        <v>46020</v>
      </c>
      <c r="C12" s="1"/>
      <c r="D12" s="1">
        <v>15</v>
      </c>
      <c r="E12" s="7">
        <v>70000</v>
      </c>
      <c r="F12" s="24">
        <f t="shared" si="0"/>
        <v>700000</v>
      </c>
      <c r="G12" s="7">
        <v>1400000</v>
      </c>
      <c r="H12" s="10">
        <v>700000</v>
      </c>
      <c r="I12" s="2">
        <f t="shared" si="1"/>
        <v>46170</v>
      </c>
      <c r="J12" s="1">
        <f t="shared" ca="1" si="2"/>
        <v>21</v>
      </c>
      <c r="K12" s="3" t="str">
        <f t="shared" ca="1" si="3"/>
        <v>VIGENTE</v>
      </c>
      <c r="L12" s="1">
        <f t="shared" si="4"/>
        <v>10</v>
      </c>
      <c r="M12" s="1">
        <f t="shared" si="5"/>
        <v>10</v>
      </c>
    </row>
    <row r="13" spans="1:13" x14ac:dyDescent="0.25">
      <c r="A13" s="1" t="s">
        <v>110</v>
      </c>
      <c r="B13" s="2">
        <v>46020</v>
      </c>
      <c r="C13" s="1"/>
      <c r="D13" s="1">
        <v>7</v>
      </c>
      <c r="E13" s="7">
        <v>30000</v>
      </c>
      <c r="F13" s="24">
        <f t="shared" si="0"/>
        <v>240000</v>
      </c>
      <c r="G13" s="7">
        <v>780000</v>
      </c>
      <c r="H13" s="10">
        <v>540000</v>
      </c>
      <c r="I13" s="2"/>
      <c r="J13" s="1" t="str">
        <f t="shared" ca="1" si="2"/>
        <v/>
      </c>
      <c r="K13" s="3" t="str">
        <f t="shared" ca="1" si="3"/>
        <v/>
      </c>
      <c r="L13" s="1">
        <f t="shared" si="4"/>
        <v>18</v>
      </c>
      <c r="M13" s="1">
        <f t="shared" si="5"/>
        <v>8</v>
      </c>
    </row>
    <row r="14" spans="1:13" x14ac:dyDescent="0.25">
      <c r="A14" s="1" t="s">
        <v>116</v>
      </c>
      <c r="B14" s="2">
        <v>46024</v>
      </c>
      <c r="C14" s="1"/>
      <c r="D14" s="1">
        <v>7</v>
      </c>
      <c r="E14" s="7">
        <v>35000</v>
      </c>
      <c r="F14" s="24">
        <f t="shared" si="0"/>
        <v>315000</v>
      </c>
      <c r="G14" s="7">
        <v>945000</v>
      </c>
      <c r="H14" s="10">
        <v>630000</v>
      </c>
      <c r="I14" s="2">
        <f t="shared" si="1"/>
        <v>46150</v>
      </c>
      <c r="J14" s="1">
        <f t="shared" ca="1" si="2"/>
        <v>1</v>
      </c>
      <c r="K14" s="3" t="str">
        <f t="shared" ca="1" si="3"/>
        <v>PRÓXIMO</v>
      </c>
      <c r="L14" s="1">
        <f t="shared" si="4"/>
        <v>18</v>
      </c>
      <c r="M14" s="1">
        <f t="shared" si="5"/>
        <v>9</v>
      </c>
    </row>
    <row r="15" spans="1:13" x14ac:dyDescent="0.25">
      <c r="A15" s="1" t="s">
        <v>122</v>
      </c>
      <c r="B15" s="2">
        <v>46027</v>
      </c>
      <c r="C15" s="1" t="s">
        <v>13</v>
      </c>
      <c r="D15" s="1">
        <v>7</v>
      </c>
      <c r="E15" s="7">
        <v>35000</v>
      </c>
      <c r="F15" s="24">
        <f t="shared" ref="F15:F50" si="6">G15-H15</f>
        <v>385000</v>
      </c>
      <c r="G15" s="7">
        <v>875000</v>
      </c>
      <c r="H15" s="10">
        <v>490000</v>
      </c>
      <c r="I15" s="2">
        <f t="shared" ref="I15:I50" si="7">IF(F15=0,"",IF(C15="CRED",B15+(INT((G15-F15)/E15)+1)*D15,B15+INT((G15-F15)/E15)*D15))</f>
        <v>46132</v>
      </c>
      <c r="J15" s="1">
        <f t="shared" ref="J15:J50" ca="1" si="8">IF(I15="","",I15-TODAY())</f>
        <v>-17</v>
      </c>
      <c r="K15" s="3" t="str">
        <f t="shared" ref="K15:K50" ca="1" si="9">IF(J15="","",IF(J15&lt;0,"VENCIDO",IF(J15&lt;=1,"PRÓXIMO","VIGENTE")))</f>
        <v>VENCIDO</v>
      </c>
      <c r="L15" s="1">
        <f t="shared" ref="L15:L50" si="10">IF(F15=G15,0,INT((G15-F15)/E15))</f>
        <v>14</v>
      </c>
      <c r="M15" s="1">
        <f t="shared" ref="M15:M50" si="11">IF(F15=0,0,INT(F15/E15)+(IF(MOD(F15,E15)&gt;0,1,0)))</f>
        <v>11</v>
      </c>
    </row>
    <row r="16" spans="1:13" x14ac:dyDescent="0.25">
      <c r="A16" s="1" t="s">
        <v>129</v>
      </c>
      <c r="B16" s="2">
        <v>46062</v>
      </c>
      <c r="C16" s="1"/>
      <c r="D16" s="1">
        <v>7</v>
      </c>
      <c r="E16" s="7">
        <v>37000</v>
      </c>
      <c r="F16" s="24">
        <f t="shared" si="6"/>
        <v>740000</v>
      </c>
      <c r="G16" s="7">
        <v>1295000</v>
      </c>
      <c r="H16" s="10">
        <v>555000</v>
      </c>
      <c r="I16" s="2">
        <f t="shared" si="7"/>
        <v>46167</v>
      </c>
      <c r="J16" s="1">
        <f t="shared" ca="1" si="8"/>
        <v>18</v>
      </c>
      <c r="K16" s="3" t="str">
        <f t="shared" ca="1" si="9"/>
        <v>VIGENTE</v>
      </c>
      <c r="L16" s="1">
        <f t="shared" si="10"/>
        <v>15</v>
      </c>
      <c r="M16" s="1">
        <f t="shared" si="11"/>
        <v>20</v>
      </c>
    </row>
    <row r="17" spans="1:13" x14ac:dyDescent="0.25">
      <c r="A17" s="1" t="s">
        <v>140</v>
      </c>
      <c r="B17" s="2">
        <v>46037</v>
      </c>
      <c r="C17" s="1"/>
      <c r="D17" s="1">
        <v>7</v>
      </c>
      <c r="E17" s="7">
        <v>19000</v>
      </c>
      <c r="F17" s="24">
        <f t="shared" si="6"/>
        <v>74000</v>
      </c>
      <c r="G17" s="7">
        <v>304000</v>
      </c>
      <c r="H17" s="10">
        <v>230000</v>
      </c>
      <c r="I17" s="2">
        <f t="shared" si="7"/>
        <v>46121</v>
      </c>
      <c r="J17" s="1">
        <f t="shared" ca="1" si="8"/>
        <v>-28</v>
      </c>
      <c r="K17" s="3" t="str">
        <f t="shared" ca="1" si="9"/>
        <v>VENCIDO</v>
      </c>
      <c r="L17" s="1">
        <f t="shared" si="10"/>
        <v>12</v>
      </c>
      <c r="M17" s="1">
        <f t="shared" si="11"/>
        <v>4</v>
      </c>
    </row>
    <row r="18" spans="1:13" x14ac:dyDescent="0.25">
      <c r="A18" s="22" t="s">
        <v>117</v>
      </c>
      <c r="B18" s="2">
        <v>46038</v>
      </c>
      <c r="C18" s="1" t="s">
        <v>13</v>
      </c>
      <c r="D18" s="1">
        <v>7</v>
      </c>
      <c r="E18" s="7">
        <v>53500</v>
      </c>
      <c r="F18" s="24">
        <f t="shared" si="6"/>
        <v>227500</v>
      </c>
      <c r="G18" s="7">
        <v>535000</v>
      </c>
      <c r="H18" s="10">
        <v>307500</v>
      </c>
      <c r="I18" s="2">
        <f t="shared" si="7"/>
        <v>46080</v>
      </c>
      <c r="J18" s="1">
        <f t="shared" ca="1" si="8"/>
        <v>-69</v>
      </c>
      <c r="K18" s="3" t="str">
        <f t="shared" ca="1" si="9"/>
        <v>VENCIDO</v>
      </c>
      <c r="L18" s="1">
        <f t="shared" si="10"/>
        <v>5</v>
      </c>
      <c r="M18" s="1">
        <f t="shared" si="11"/>
        <v>5</v>
      </c>
    </row>
    <row r="19" spans="1:13" x14ac:dyDescent="0.25">
      <c r="A19" s="1" t="s">
        <v>164</v>
      </c>
      <c r="B19" s="2">
        <v>46049</v>
      </c>
      <c r="C19" s="1"/>
      <c r="D19" s="1">
        <v>7</v>
      </c>
      <c r="E19" s="7">
        <v>35000</v>
      </c>
      <c r="F19" s="24">
        <f t="shared" si="6"/>
        <v>175000</v>
      </c>
      <c r="G19" s="7">
        <v>700000</v>
      </c>
      <c r="H19" s="10">
        <v>525000</v>
      </c>
      <c r="I19" s="2">
        <f t="shared" si="7"/>
        <v>46154</v>
      </c>
      <c r="J19" s="1">
        <f t="shared" ca="1" si="8"/>
        <v>5</v>
      </c>
      <c r="K19" s="3" t="str">
        <f t="shared" ca="1" si="9"/>
        <v>VIGENTE</v>
      </c>
      <c r="L19" s="1">
        <f t="shared" si="10"/>
        <v>15</v>
      </c>
      <c r="M19" s="1">
        <f t="shared" si="11"/>
        <v>5</v>
      </c>
    </row>
    <row r="20" spans="1:13" x14ac:dyDescent="0.25">
      <c r="A20" s="1" t="s">
        <v>183</v>
      </c>
      <c r="B20" s="2">
        <v>46060</v>
      </c>
      <c r="C20" s="1"/>
      <c r="D20" s="1">
        <v>7</v>
      </c>
      <c r="E20" s="7">
        <v>25000</v>
      </c>
      <c r="F20" s="24">
        <f t="shared" si="6"/>
        <v>175000</v>
      </c>
      <c r="G20" s="7">
        <v>500000</v>
      </c>
      <c r="H20" s="10">
        <v>325000</v>
      </c>
      <c r="I20" s="2">
        <f t="shared" si="7"/>
        <v>46151</v>
      </c>
      <c r="J20" s="1">
        <f t="shared" ca="1" si="8"/>
        <v>2</v>
      </c>
      <c r="K20" s="3" t="str">
        <f t="shared" ca="1" si="9"/>
        <v>VIGENTE</v>
      </c>
      <c r="L20" s="1">
        <f t="shared" si="10"/>
        <v>13</v>
      </c>
      <c r="M20" s="1">
        <f t="shared" si="11"/>
        <v>7</v>
      </c>
    </row>
    <row r="21" spans="1:13" x14ac:dyDescent="0.25">
      <c r="A21" s="1" t="s">
        <v>186</v>
      </c>
      <c r="B21" s="2">
        <v>46060</v>
      </c>
      <c r="C21" s="1"/>
      <c r="D21" s="1">
        <v>7</v>
      </c>
      <c r="E21" s="7">
        <v>39000</v>
      </c>
      <c r="F21" s="24">
        <f t="shared" si="6"/>
        <v>663000</v>
      </c>
      <c r="G21" s="7">
        <v>1170000</v>
      </c>
      <c r="H21" s="10">
        <v>507000</v>
      </c>
      <c r="I21" s="2">
        <f t="shared" si="7"/>
        <v>46151</v>
      </c>
      <c r="J21" s="1">
        <f t="shared" ca="1" si="8"/>
        <v>2</v>
      </c>
      <c r="K21" s="3" t="str">
        <f t="shared" ca="1" si="9"/>
        <v>VIGENTE</v>
      </c>
      <c r="L21" s="1">
        <f t="shared" si="10"/>
        <v>13</v>
      </c>
      <c r="M21" s="1">
        <f t="shared" si="11"/>
        <v>17</v>
      </c>
    </row>
    <row r="22" spans="1:13" x14ac:dyDescent="0.25">
      <c r="A22" s="1" t="s">
        <v>192</v>
      </c>
      <c r="B22" s="2">
        <v>46063</v>
      </c>
      <c r="C22" s="1" t="s">
        <v>13</v>
      </c>
      <c r="D22" s="1">
        <v>7</v>
      </c>
      <c r="E22" s="7">
        <v>49000</v>
      </c>
      <c r="F22" s="24">
        <f t="shared" si="6"/>
        <v>49000</v>
      </c>
      <c r="G22" s="7">
        <v>490000</v>
      </c>
      <c r="H22" s="10">
        <v>441000</v>
      </c>
      <c r="I22" s="2">
        <f t="shared" si="7"/>
        <v>46133</v>
      </c>
      <c r="J22" s="1">
        <f t="shared" ca="1" si="8"/>
        <v>-16</v>
      </c>
      <c r="K22" s="3" t="str">
        <f t="shared" ca="1" si="9"/>
        <v>VENCIDO</v>
      </c>
      <c r="L22" s="1">
        <f t="shared" si="10"/>
        <v>9</v>
      </c>
      <c r="M22" s="1">
        <f t="shared" si="11"/>
        <v>1</v>
      </c>
    </row>
    <row r="23" spans="1:13" x14ac:dyDescent="0.25">
      <c r="A23" s="1" t="s">
        <v>198</v>
      </c>
      <c r="B23" s="2">
        <v>46063</v>
      </c>
      <c r="C23" s="1"/>
      <c r="D23" s="1">
        <v>7</v>
      </c>
      <c r="E23" s="7">
        <v>25000</v>
      </c>
      <c r="F23" s="24">
        <f t="shared" si="6"/>
        <v>200000</v>
      </c>
      <c r="G23" s="7">
        <v>500000</v>
      </c>
      <c r="H23" s="10">
        <v>300000</v>
      </c>
      <c r="I23" s="2">
        <f t="shared" si="7"/>
        <v>46147</v>
      </c>
      <c r="J23" s="1">
        <f t="shared" ca="1" si="8"/>
        <v>-2</v>
      </c>
      <c r="K23" s="3" t="str">
        <f t="shared" ca="1" si="9"/>
        <v>VENCIDO</v>
      </c>
      <c r="L23" s="1">
        <f t="shared" si="10"/>
        <v>12</v>
      </c>
      <c r="M23" s="1">
        <f t="shared" si="11"/>
        <v>8</v>
      </c>
    </row>
    <row r="24" spans="1:13" x14ac:dyDescent="0.25">
      <c r="A24" s="1" t="s">
        <v>200</v>
      </c>
      <c r="B24" s="2">
        <v>46063</v>
      </c>
      <c r="C24" s="1"/>
      <c r="D24" s="1">
        <v>7</v>
      </c>
      <c r="E24" s="7">
        <v>26000</v>
      </c>
      <c r="F24" s="24">
        <f t="shared" si="6"/>
        <v>85000</v>
      </c>
      <c r="G24" s="7">
        <v>416000</v>
      </c>
      <c r="H24" s="10">
        <v>331000</v>
      </c>
      <c r="I24" s="2">
        <f t="shared" si="7"/>
        <v>46147</v>
      </c>
      <c r="J24" s="1">
        <f t="shared" ca="1" si="8"/>
        <v>-2</v>
      </c>
      <c r="K24" s="3" t="str">
        <f t="shared" ca="1" si="9"/>
        <v>VENCIDO</v>
      </c>
      <c r="L24" s="1">
        <f t="shared" si="10"/>
        <v>12</v>
      </c>
      <c r="M24" s="1">
        <f t="shared" si="11"/>
        <v>4</v>
      </c>
    </row>
    <row r="25" spans="1:13" x14ac:dyDescent="0.25">
      <c r="A25" s="1" t="s">
        <v>213</v>
      </c>
      <c r="B25" s="2">
        <v>46069</v>
      </c>
      <c r="C25" s="1"/>
      <c r="D25" s="1">
        <v>7</v>
      </c>
      <c r="E25" s="7">
        <v>30000</v>
      </c>
      <c r="F25" s="24">
        <f t="shared" si="6"/>
        <v>150000</v>
      </c>
      <c r="G25" s="7">
        <v>510000</v>
      </c>
      <c r="H25" s="10">
        <v>360000</v>
      </c>
      <c r="I25" s="2">
        <f t="shared" si="7"/>
        <v>46153</v>
      </c>
      <c r="J25" s="1">
        <f t="shared" ca="1" si="8"/>
        <v>4</v>
      </c>
      <c r="K25" s="3" t="str">
        <f t="shared" ca="1" si="9"/>
        <v>VIGENTE</v>
      </c>
      <c r="L25" s="1">
        <f t="shared" si="10"/>
        <v>12</v>
      </c>
      <c r="M25" s="1">
        <f t="shared" si="11"/>
        <v>5</v>
      </c>
    </row>
    <row r="26" spans="1:13" x14ac:dyDescent="0.25">
      <c r="A26" s="1" t="s">
        <v>221</v>
      </c>
      <c r="B26" s="2">
        <v>46072</v>
      </c>
      <c r="C26" s="1" t="s">
        <v>13</v>
      </c>
      <c r="D26" s="1">
        <v>7</v>
      </c>
      <c r="E26" s="7">
        <v>25000</v>
      </c>
      <c r="F26" s="24">
        <f t="shared" si="6"/>
        <v>250000</v>
      </c>
      <c r="G26" s="7">
        <v>450000</v>
      </c>
      <c r="H26" s="10">
        <v>200000</v>
      </c>
      <c r="I26" s="2">
        <f t="shared" si="7"/>
        <v>46135</v>
      </c>
      <c r="J26" s="1">
        <f t="shared" ca="1" si="8"/>
        <v>-14</v>
      </c>
      <c r="K26" s="3" t="str">
        <f t="shared" ca="1" si="9"/>
        <v>VENCIDO</v>
      </c>
      <c r="L26" s="1">
        <f t="shared" si="10"/>
        <v>8</v>
      </c>
      <c r="M26" s="1">
        <f t="shared" si="11"/>
        <v>10</v>
      </c>
    </row>
    <row r="27" spans="1:13" x14ac:dyDescent="0.25">
      <c r="A27" s="1" t="s">
        <v>225</v>
      </c>
      <c r="B27" s="2">
        <v>46072</v>
      </c>
      <c r="C27" s="1"/>
      <c r="D27" s="1">
        <v>7</v>
      </c>
      <c r="E27" s="7">
        <v>18000</v>
      </c>
      <c r="F27" s="24">
        <f t="shared" si="6"/>
        <v>108000</v>
      </c>
      <c r="G27" s="7">
        <v>288000</v>
      </c>
      <c r="H27" s="10">
        <v>180000</v>
      </c>
      <c r="I27" s="2">
        <f t="shared" si="7"/>
        <v>46142</v>
      </c>
      <c r="J27" s="1">
        <f t="shared" ca="1" si="8"/>
        <v>-7</v>
      </c>
      <c r="K27" s="3" t="str">
        <f t="shared" ca="1" si="9"/>
        <v>VENCIDO</v>
      </c>
      <c r="L27" s="1">
        <f t="shared" si="10"/>
        <v>10</v>
      </c>
      <c r="M27" s="1">
        <f t="shared" si="11"/>
        <v>6</v>
      </c>
    </row>
    <row r="28" spans="1:13" x14ac:dyDescent="0.25">
      <c r="A28" s="1" t="s">
        <v>227</v>
      </c>
      <c r="B28" s="2">
        <v>46107</v>
      </c>
      <c r="C28" s="1" t="s">
        <v>13</v>
      </c>
      <c r="D28" s="1">
        <v>30</v>
      </c>
      <c r="E28" s="7">
        <v>80000</v>
      </c>
      <c r="F28" s="24">
        <f t="shared" si="6"/>
        <v>720000</v>
      </c>
      <c r="G28" s="7">
        <v>880000</v>
      </c>
      <c r="H28" s="10">
        <v>160000</v>
      </c>
      <c r="I28" s="2">
        <f t="shared" si="7"/>
        <v>46197</v>
      </c>
      <c r="J28" s="1">
        <f t="shared" ca="1" si="8"/>
        <v>48</v>
      </c>
      <c r="K28" s="3" t="str">
        <f t="shared" ca="1" si="9"/>
        <v>VIGENTE</v>
      </c>
      <c r="L28" s="1">
        <f t="shared" si="10"/>
        <v>2</v>
      </c>
      <c r="M28" s="1">
        <f t="shared" si="11"/>
        <v>9</v>
      </c>
    </row>
    <row r="29" spans="1:13" x14ac:dyDescent="0.25">
      <c r="A29" s="1" t="s">
        <v>243</v>
      </c>
      <c r="B29" s="2">
        <v>46079</v>
      </c>
      <c r="C29" s="1"/>
      <c r="D29" s="1">
        <v>7</v>
      </c>
      <c r="E29" s="7">
        <v>50000</v>
      </c>
      <c r="F29" s="24">
        <f t="shared" si="6"/>
        <v>700000</v>
      </c>
      <c r="G29" s="7">
        <v>1100000</v>
      </c>
      <c r="H29" s="10">
        <v>400000</v>
      </c>
      <c r="I29" s="2">
        <f t="shared" si="7"/>
        <v>46135</v>
      </c>
      <c r="J29" s="1">
        <f t="shared" ca="1" si="8"/>
        <v>-14</v>
      </c>
      <c r="K29" s="3" t="str">
        <f t="shared" ca="1" si="9"/>
        <v>VENCIDO</v>
      </c>
      <c r="L29" s="1">
        <f t="shared" si="10"/>
        <v>8</v>
      </c>
      <c r="M29" s="1">
        <f t="shared" si="11"/>
        <v>14</v>
      </c>
    </row>
    <row r="30" spans="1:13" x14ac:dyDescent="0.25">
      <c r="A30" s="1" t="s">
        <v>249</v>
      </c>
      <c r="B30" s="2">
        <v>46080</v>
      </c>
      <c r="C30" s="1"/>
      <c r="D30" s="1">
        <v>7</v>
      </c>
      <c r="E30" s="7">
        <v>29000</v>
      </c>
      <c r="F30" s="24">
        <f t="shared" si="6"/>
        <v>174000</v>
      </c>
      <c r="G30" s="7">
        <v>464000</v>
      </c>
      <c r="H30" s="10">
        <v>290000</v>
      </c>
      <c r="I30" s="2">
        <f t="shared" si="7"/>
        <v>46150</v>
      </c>
      <c r="J30" s="1">
        <f t="shared" ca="1" si="8"/>
        <v>1</v>
      </c>
      <c r="K30" s="3" t="str">
        <f t="shared" ca="1" si="9"/>
        <v>PRÓXIMO</v>
      </c>
      <c r="L30" s="1">
        <f t="shared" si="10"/>
        <v>10</v>
      </c>
      <c r="M30" s="1">
        <f t="shared" si="11"/>
        <v>6</v>
      </c>
    </row>
    <row r="31" spans="1:13" x14ac:dyDescent="0.25">
      <c r="A31" s="1" t="s">
        <v>276</v>
      </c>
      <c r="B31" s="2">
        <v>46086</v>
      </c>
      <c r="C31" s="1" t="s">
        <v>13</v>
      </c>
      <c r="D31" s="1">
        <v>7</v>
      </c>
      <c r="E31" s="7">
        <v>76000</v>
      </c>
      <c r="F31" s="24">
        <f t="shared" si="6"/>
        <v>152000</v>
      </c>
      <c r="G31" s="7">
        <v>760000</v>
      </c>
      <c r="H31" s="10">
        <v>608000</v>
      </c>
      <c r="I31" s="2">
        <f t="shared" si="7"/>
        <v>46149</v>
      </c>
      <c r="J31" s="1">
        <f t="shared" ca="1" si="8"/>
        <v>0</v>
      </c>
      <c r="K31" s="3" t="str">
        <f t="shared" ca="1" si="9"/>
        <v>PRÓXIMO</v>
      </c>
      <c r="L31" s="1">
        <f t="shared" si="10"/>
        <v>8</v>
      </c>
      <c r="M31" s="1">
        <f t="shared" si="11"/>
        <v>2</v>
      </c>
    </row>
    <row r="32" spans="1:13" x14ac:dyDescent="0.25">
      <c r="A32" s="1" t="s">
        <v>278</v>
      </c>
      <c r="B32" s="2">
        <v>46087</v>
      </c>
      <c r="C32" s="1"/>
      <c r="D32" s="1">
        <v>7</v>
      </c>
      <c r="E32" s="7">
        <v>32000</v>
      </c>
      <c r="F32" s="24">
        <f t="shared" si="6"/>
        <v>704000</v>
      </c>
      <c r="G32" s="7">
        <v>960000</v>
      </c>
      <c r="H32" s="10">
        <v>256000</v>
      </c>
      <c r="I32" s="2">
        <f t="shared" si="7"/>
        <v>46143</v>
      </c>
      <c r="J32" s="1">
        <f t="shared" ca="1" si="8"/>
        <v>-6</v>
      </c>
      <c r="K32" s="3" t="str">
        <f t="shared" ca="1" si="9"/>
        <v>VENCIDO</v>
      </c>
      <c r="L32" s="1">
        <f t="shared" si="10"/>
        <v>8</v>
      </c>
      <c r="M32" s="1">
        <f t="shared" si="11"/>
        <v>22</v>
      </c>
    </row>
    <row r="33" spans="1:13" x14ac:dyDescent="0.25">
      <c r="A33" s="1" t="s">
        <v>302</v>
      </c>
      <c r="B33" s="2">
        <v>46094</v>
      </c>
      <c r="C33" s="1"/>
      <c r="D33" s="1">
        <v>7</v>
      </c>
      <c r="E33" s="7">
        <v>32000</v>
      </c>
      <c r="F33" s="24">
        <f t="shared" si="6"/>
        <v>736000</v>
      </c>
      <c r="G33" s="7">
        <v>960000</v>
      </c>
      <c r="H33" s="10">
        <v>224000</v>
      </c>
      <c r="I33" s="2">
        <f t="shared" si="7"/>
        <v>46143</v>
      </c>
      <c r="J33" s="1">
        <f t="shared" ca="1" si="8"/>
        <v>-6</v>
      </c>
      <c r="K33" s="3" t="str">
        <f t="shared" ca="1" si="9"/>
        <v>VENCIDO</v>
      </c>
      <c r="L33" s="1">
        <f t="shared" si="10"/>
        <v>7</v>
      </c>
      <c r="M33" s="1">
        <f t="shared" si="11"/>
        <v>23</v>
      </c>
    </row>
    <row r="34" spans="1:13" x14ac:dyDescent="0.25">
      <c r="A34" s="1" t="s">
        <v>315</v>
      </c>
      <c r="B34" s="2">
        <v>46097</v>
      </c>
      <c r="C34" s="1"/>
      <c r="D34" s="1">
        <v>7</v>
      </c>
      <c r="E34" s="7">
        <v>34000</v>
      </c>
      <c r="F34" s="24">
        <f t="shared" si="6"/>
        <v>305000</v>
      </c>
      <c r="G34" s="7">
        <v>544000</v>
      </c>
      <c r="H34" s="10">
        <v>239000</v>
      </c>
      <c r="I34" s="2">
        <f t="shared" si="7"/>
        <v>46146</v>
      </c>
      <c r="J34" s="1">
        <f t="shared" ca="1" si="8"/>
        <v>-3</v>
      </c>
      <c r="K34" s="3" t="str">
        <f t="shared" ca="1" si="9"/>
        <v>VENCIDO</v>
      </c>
      <c r="L34" s="1">
        <f t="shared" si="10"/>
        <v>7</v>
      </c>
      <c r="M34" s="1">
        <f t="shared" si="11"/>
        <v>9</v>
      </c>
    </row>
    <row r="35" spans="1:13" x14ac:dyDescent="0.25">
      <c r="A35" s="1" t="s">
        <v>329</v>
      </c>
      <c r="B35" s="2">
        <v>46099</v>
      </c>
      <c r="C35" s="1"/>
      <c r="D35" s="1">
        <v>7</v>
      </c>
      <c r="E35" s="7">
        <v>17000</v>
      </c>
      <c r="F35" s="24">
        <f t="shared" si="6"/>
        <v>119000</v>
      </c>
      <c r="G35" s="7">
        <v>238000</v>
      </c>
      <c r="H35" s="10">
        <v>119000</v>
      </c>
      <c r="I35" s="2">
        <f t="shared" si="7"/>
        <v>46148</v>
      </c>
      <c r="J35" s="1">
        <f t="shared" ca="1" si="8"/>
        <v>-1</v>
      </c>
      <c r="K35" s="3" t="str">
        <f t="shared" ca="1" si="9"/>
        <v>VENCIDO</v>
      </c>
      <c r="L35" s="1">
        <f t="shared" si="10"/>
        <v>7</v>
      </c>
      <c r="M35" s="1">
        <f t="shared" si="11"/>
        <v>7</v>
      </c>
    </row>
    <row r="36" spans="1:13" x14ac:dyDescent="0.25">
      <c r="A36" s="1" t="s">
        <v>330</v>
      </c>
      <c r="B36" s="2">
        <v>46099</v>
      </c>
      <c r="C36" s="1"/>
      <c r="D36" s="1">
        <v>7</v>
      </c>
      <c r="E36" s="7">
        <v>30000</v>
      </c>
      <c r="F36" s="24">
        <f t="shared" si="6"/>
        <v>270000</v>
      </c>
      <c r="G36" s="7">
        <v>480000</v>
      </c>
      <c r="H36" s="10">
        <v>210000</v>
      </c>
      <c r="I36" s="2">
        <f t="shared" si="7"/>
        <v>46148</v>
      </c>
      <c r="J36" s="1">
        <f t="shared" ca="1" si="8"/>
        <v>-1</v>
      </c>
      <c r="K36" s="3" t="str">
        <f t="shared" ca="1" si="9"/>
        <v>VENCIDO</v>
      </c>
      <c r="L36" s="1">
        <f t="shared" si="10"/>
        <v>7</v>
      </c>
      <c r="M36" s="1">
        <f t="shared" si="11"/>
        <v>9</v>
      </c>
    </row>
    <row r="37" spans="1:13" x14ac:dyDescent="0.25">
      <c r="A37" s="1" t="s">
        <v>332</v>
      </c>
      <c r="B37" s="2">
        <v>46100</v>
      </c>
      <c r="C37" s="1" t="s">
        <v>13</v>
      </c>
      <c r="D37" s="1">
        <v>7</v>
      </c>
      <c r="E37" s="7">
        <v>76000</v>
      </c>
      <c r="F37" s="24">
        <f t="shared" si="6"/>
        <v>380000</v>
      </c>
      <c r="G37" s="7">
        <v>760000</v>
      </c>
      <c r="H37" s="10">
        <v>380000</v>
      </c>
      <c r="I37" s="2">
        <f t="shared" si="7"/>
        <v>46142</v>
      </c>
      <c r="J37" s="1">
        <f t="shared" ca="1" si="8"/>
        <v>-7</v>
      </c>
      <c r="K37" s="3" t="str">
        <f t="shared" ca="1" si="9"/>
        <v>VENCIDO</v>
      </c>
      <c r="L37" s="1">
        <f t="shared" si="10"/>
        <v>5</v>
      </c>
      <c r="M37" s="1">
        <f t="shared" si="11"/>
        <v>5</v>
      </c>
    </row>
    <row r="38" spans="1:13" x14ac:dyDescent="0.25">
      <c r="A38" s="1" t="s">
        <v>207</v>
      </c>
      <c r="B38" s="2">
        <v>46102</v>
      </c>
      <c r="C38" s="1" t="s">
        <v>13</v>
      </c>
      <c r="D38" s="1">
        <v>7</v>
      </c>
      <c r="E38" s="7">
        <v>36000</v>
      </c>
      <c r="F38" s="24">
        <f t="shared" si="6"/>
        <v>216000</v>
      </c>
      <c r="G38" s="7">
        <v>288000</v>
      </c>
      <c r="H38" s="10">
        <v>72000</v>
      </c>
      <c r="I38" s="2">
        <f t="shared" si="7"/>
        <v>46123</v>
      </c>
      <c r="J38" s="1">
        <f t="shared" ca="1" si="8"/>
        <v>-26</v>
      </c>
      <c r="K38" s="3" t="str">
        <f t="shared" ca="1" si="9"/>
        <v>VENCIDO</v>
      </c>
      <c r="L38" s="1">
        <f t="shared" si="10"/>
        <v>2</v>
      </c>
      <c r="M38" s="1">
        <f t="shared" si="11"/>
        <v>6</v>
      </c>
    </row>
    <row r="39" spans="1:13" x14ac:dyDescent="0.25">
      <c r="A39" s="1" t="s">
        <v>345</v>
      </c>
      <c r="B39" s="2">
        <v>46105</v>
      </c>
      <c r="C39" s="1"/>
      <c r="D39" s="1">
        <v>7</v>
      </c>
      <c r="E39" s="7">
        <v>30000</v>
      </c>
      <c r="F39" s="24">
        <f t="shared" si="6"/>
        <v>330000</v>
      </c>
      <c r="G39" s="7">
        <v>540000</v>
      </c>
      <c r="H39" s="10">
        <v>210000</v>
      </c>
      <c r="I39" s="2">
        <f t="shared" si="7"/>
        <v>46154</v>
      </c>
      <c r="J39" s="1">
        <f t="shared" ca="1" si="8"/>
        <v>5</v>
      </c>
      <c r="K39" s="3" t="str">
        <f t="shared" ca="1" si="9"/>
        <v>VIGENTE</v>
      </c>
      <c r="L39" s="1">
        <f t="shared" si="10"/>
        <v>7</v>
      </c>
      <c r="M39" s="1">
        <f t="shared" si="11"/>
        <v>11</v>
      </c>
    </row>
    <row r="40" spans="1:13" x14ac:dyDescent="0.25">
      <c r="A40" s="1" t="s">
        <v>352</v>
      </c>
      <c r="B40" s="2">
        <v>46106</v>
      </c>
      <c r="C40" s="1"/>
      <c r="D40" s="1">
        <v>7</v>
      </c>
      <c r="E40" s="7">
        <v>40000</v>
      </c>
      <c r="F40" s="24">
        <f t="shared" si="6"/>
        <v>720000</v>
      </c>
      <c r="G40" s="7">
        <v>960000</v>
      </c>
      <c r="H40" s="10">
        <v>240000</v>
      </c>
      <c r="I40" s="2">
        <f t="shared" si="7"/>
        <v>46148</v>
      </c>
      <c r="J40" s="1">
        <f t="shared" ca="1" si="8"/>
        <v>-1</v>
      </c>
      <c r="K40" s="3" t="str">
        <f t="shared" ca="1" si="9"/>
        <v>VENCIDO</v>
      </c>
      <c r="L40" s="1">
        <f t="shared" si="10"/>
        <v>6</v>
      </c>
      <c r="M40" s="1">
        <f t="shared" si="11"/>
        <v>18</v>
      </c>
    </row>
    <row r="41" spans="1:13" x14ac:dyDescent="0.25">
      <c r="A41" s="1" t="s">
        <v>353</v>
      </c>
      <c r="B41" s="2">
        <v>46106</v>
      </c>
      <c r="C41" s="1" t="s">
        <v>354</v>
      </c>
      <c r="D41" s="1">
        <v>7</v>
      </c>
      <c r="E41" s="7">
        <v>38000</v>
      </c>
      <c r="F41" s="24">
        <f t="shared" si="6"/>
        <v>208000</v>
      </c>
      <c r="G41" s="7">
        <v>380000</v>
      </c>
      <c r="H41" s="10">
        <v>172000</v>
      </c>
      <c r="I41" s="2">
        <f t="shared" si="7"/>
        <v>46134</v>
      </c>
      <c r="J41" s="1">
        <f t="shared" ca="1" si="8"/>
        <v>-15</v>
      </c>
      <c r="K41" s="3" t="str">
        <f t="shared" ca="1" si="9"/>
        <v>VENCIDO</v>
      </c>
      <c r="L41" s="1">
        <f t="shared" si="10"/>
        <v>4</v>
      </c>
      <c r="M41" s="1">
        <f t="shared" si="11"/>
        <v>6</v>
      </c>
    </row>
    <row r="42" spans="1:13" x14ac:dyDescent="0.25">
      <c r="A42" s="1" t="s">
        <v>362</v>
      </c>
      <c r="B42" s="2">
        <v>46108</v>
      </c>
      <c r="C42" s="1"/>
      <c r="D42" s="1">
        <v>7</v>
      </c>
      <c r="E42" s="7">
        <v>35000</v>
      </c>
      <c r="F42" s="24">
        <f t="shared" si="6"/>
        <v>595000</v>
      </c>
      <c r="G42" s="7">
        <v>805000</v>
      </c>
      <c r="H42" s="10">
        <v>210000</v>
      </c>
      <c r="I42" s="2">
        <f t="shared" si="7"/>
        <v>46150</v>
      </c>
      <c r="J42" s="1">
        <f t="shared" ca="1" si="8"/>
        <v>1</v>
      </c>
      <c r="K42" s="3" t="str">
        <f t="shared" ca="1" si="9"/>
        <v>PRÓXIMO</v>
      </c>
      <c r="L42" s="1">
        <f t="shared" si="10"/>
        <v>6</v>
      </c>
      <c r="M42" s="1">
        <f t="shared" si="11"/>
        <v>17</v>
      </c>
    </row>
    <row r="43" spans="1:13" x14ac:dyDescent="0.25">
      <c r="A43" s="1" t="s">
        <v>365</v>
      </c>
      <c r="B43" s="2">
        <v>46109</v>
      </c>
      <c r="C43" s="1" t="s">
        <v>13</v>
      </c>
      <c r="D43" s="1">
        <v>7</v>
      </c>
      <c r="E43" s="7">
        <v>24000</v>
      </c>
      <c r="F43" s="24">
        <f t="shared" si="6"/>
        <v>72000</v>
      </c>
      <c r="G43" s="7">
        <v>192000</v>
      </c>
      <c r="H43" s="10">
        <v>120000</v>
      </c>
      <c r="I43" s="2">
        <f t="shared" si="7"/>
        <v>46151</v>
      </c>
      <c r="J43" s="1">
        <f t="shared" ca="1" si="8"/>
        <v>2</v>
      </c>
      <c r="K43" s="3" t="str">
        <f t="shared" ca="1" si="9"/>
        <v>VIGENTE</v>
      </c>
      <c r="L43" s="1">
        <f t="shared" si="10"/>
        <v>5</v>
      </c>
      <c r="M43" s="1">
        <f t="shared" si="11"/>
        <v>3</v>
      </c>
    </row>
    <row r="44" spans="1:13" x14ac:dyDescent="0.25">
      <c r="A44" s="1" t="s">
        <v>381</v>
      </c>
      <c r="B44" s="2">
        <v>46113</v>
      </c>
      <c r="C44" s="1"/>
      <c r="D44" s="1">
        <v>7</v>
      </c>
      <c r="E44" s="7">
        <v>28000</v>
      </c>
      <c r="F44" s="24">
        <f t="shared" si="6"/>
        <v>364000</v>
      </c>
      <c r="G44" s="7">
        <v>504000</v>
      </c>
      <c r="H44" s="10">
        <v>140000</v>
      </c>
      <c r="I44" s="2">
        <f t="shared" si="7"/>
        <v>46148</v>
      </c>
      <c r="J44" s="1">
        <f t="shared" ca="1" si="8"/>
        <v>-1</v>
      </c>
      <c r="K44" s="3" t="str">
        <f t="shared" ca="1" si="9"/>
        <v>VENCIDO</v>
      </c>
      <c r="L44" s="1">
        <f t="shared" si="10"/>
        <v>5</v>
      </c>
      <c r="M44" s="1">
        <f t="shared" si="11"/>
        <v>13</v>
      </c>
    </row>
    <row r="45" spans="1:13" x14ac:dyDescent="0.25">
      <c r="A45" s="1" t="s">
        <v>403</v>
      </c>
      <c r="B45" s="2">
        <v>46116</v>
      </c>
      <c r="C45" s="1"/>
      <c r="D45" s="1">
        <v>7</v>
      </c>
      <c r="E45" s="7">
        <v>20000</v>
      </c>
      <c r="F45" s="24">
        <f t="shared" si="6"/>
        <v>240000</v>
      </c>
      <c r="G45" s="7">
        <v>320000</v>
      </c>
      <c r="H45" s="10">
        <v>80000</v>
      </c>
      <c r="I45" s="2">
        <f t="shared" si="7"/>
        <v>46144</v>
      </c>
      <c r="J45" s="1">
        <f t="shared" ca="1" si="8"/>
        <v>-5</v>
      </c>
      <c r="K45" s="3" t="str">
        <f t="shared" ca="1" si="9"/>
        <v>VENCIDO</v>
      </c>
      <c r="L45" s="1">
        <f t="shared" si="10"/>
        <v>4</v>
      </c>
      <c r="M45" s="1">
        <f t="shared" si="11"/>
        <v>12</v>
      </c>
    </row>
    <row r="46" spans="1:13" x14ac:dyDescent="0.25">
      <c r="A46" s="1" t="s">
        <v>378</v>
      </c>
      <c r="B46" s="2">
        <v>46112</v>
      </c>
      <c r="C46" s="1"/>
      <c r="D46" s="1">
        <v>7</v>
      </c>
      <c r="E46" s="7">
        <v>30000</v>
      </c>
      <c r="F46" s="24">
        <f t="shared" si="6"/>
        <v>330000</v>
      </c>
      <c r="G46" s="7">
        <v>480000</v>
      </c>
      <c r="H46" s="10">
        <v>150000</v>
      </c>
      <c r="I46" s="2">
        <f t="shared" si="7"/>
        <v>46147</v>
      </c>
      <c r="J46" s="1">
        <f t="shared" ca="1" si="8"/>
        <v>-2</v>
      </c>
      <c r="K46" s="3" t="str">
        <f t="shared" ca="1" si="9"/>
        <v>VENCIDO</v>
      </c>
      <c r="L46" s="1">
        <f t="shared" si="10"/>
        <v>5</v>
      </c>
      <c r="M46" s="1">
        <f t="shared" si="11"/>
        <v>11</v>
      </c>
    </row>
    <row r="47" spans="1:13" x14ac:dyDescent="0.25">
      <c r="A47" s="1" t="s">
        <v>419</v>
      </c>
      <c r="B47" s="2">
        <v>46120</v>
      </c>
      <c r="C47" s="1"/>
      <c r="D47" s="1">
        <v>7</v>
      </c>
      <c r="E47" s="7">
        <v>38000</v>
      </c>
      <c r="F47" s="24">
        <f t="shared" si="6"/>
        <v>418000</v>
      </c>
      <c r="G47" s="7">
        <v>608000</v>
      </c>
      <c r="H47" s="10">
        <v>190000</v>
      </c>
      <c r="I47" s="2">
        <f t="shared" si="7"/>
        <v>46155</v>
      </c>
      <c r="J47" s="1">
        <f t="shared" ca="1" si="8"/>
        <v>6</v>
      </c>
      <c r="K47" s="3" t="str">
        <f t="shared" ca="1" si="9"/>
        <v>VIGENTE</v>
      </c>
      <c r="L47" s="1">
        <f t="shared" si="10"/>
        <v>5</v>
      </c>
      <c r="M47" s="1">
        <f t="shared" si="11"/>
        <v>11</v>
      </c>
    </row>
    <row r="48" spans="1:13" x14ac:dyDescent="0.25">
      <c r="A48" s="1" t="s">
        <v>420</v>
      </c>
      <c r="B48" s="2">
        <v>46120</v>
      </c>
      <c r="C48" s="1" t="s">
        <v>13</v>
      </c>
      <c r="D48" s="1">
        <v>7</v>
      </c>
      <c r="E48" s="7">
        <v>76000</v>
      </c>
      <c r="F48" s="24">
        <f t="shared" si="6"/>
        <v>532000</v>
      </c>
      <c r="G48" s="7">
        <v>760000</v>
      </c>
      <c r="H48" s="10">
        <v>228000</v>
      </c>
      <c r="I48" s="2">
        <f t="shared" si="7"/>
        <v>46148</v>
      </c>
      <c r="J48" s="1">
        <f t="shared" ca="1" si="8"/>
        <v>-1</v>
      </c>
      <c r="K48" s="3" t="str">
        <f t="shared" ca="1" si="9"/>
        <v>VENCIDO</v>
      </c>
      <c r="L48" s="1">
        <f t="shared" si="10"/>
        <v>3</v>
      </c>
      <c r="M48" s="1">
        <f t="shared" si="11"/>
        <v>7</v>
      </c>
    </row>
    <row r="49" spans="1:13" x14ac:dyDescent="0.25">
      <c r="A49" s="1" t="s">
        <v>436</v>
      </c>
      <c r="B49" s="2">
        <v>46122</v>
      </c>
      <c r="C49" s="1" t="s">
        <v>13</v>
      </c>
      <c r="D49" s="1">
        <v>15</v>
      </c>
      <c r="E49" s="7">
        <v>114000</v>
      </c>
      <c r="F49" s="24">
        <f t="shared" si="6"/>
        <v>456000</v>
      </c>
      <c r="G49" s="7">
        <v>570000</v>
      </c>
      <c r="H49" s="10">
        <v>114000</v>
      </c>
      <c r="I49" s="2">
        <f t="shared" si="7"/>
        <v>46152</v>
      </c>
      <c r="J49" s="1">
        <f t="shared" ca="1" si="8"/>
        <v>3</v>
      </c>
      <c r="K49" s="3" t="str">
        <f t="shared" ca="1" si="9"/>
        <v>VIGENTE</v>
      </c>
      <c r="L49" s="1">
        <f t="shared" si="10"/>
        <v>1</v>
      </c>
      <c r="M49" s="1">
        <f t="shared" si="11"/>
        <v>4</v>
      </c>
    </row>
    <row r="50" spans="1:13" x14ac:dyDescent="0.25">
      <c r="A50" s="1" t="s">
        <v>443</v>
      </c>
      <c r="B50" s="2">
        <v>46116</v>
      </c>
      <c r="C50" s="1" t="s">
        <v>13</v>
      </c>
      <c r="D50" s="1">
        <v>7</v>
      </c>
      <c r="E50" s="7">
        <v>30000</v>
      </c>
      <c r="F50" s="24">
        <f t="shared" si="6"/>
        <v>120000</v>
      </c>
      <c r="G50" s="7">
        <v>150000</v>
      </c>
      <c r="H50" s="10">
        <v>30000</v>
      </c>
      <c r="I50" s="2">
        <f t="shared" si="7"/>
        <v>46130</v>
      </c>
      <c r="J50" s="1">
        <f t="shared" ca="1" si="8"/>
        <v>-19</v>
      </c>
      <c r="K50" s="3" t="str">
        <f t="shared" ca="1" si="9"/>
        <v>VENCIDO</v>
      </c>
      <c r="L50" s="1">
        <f t="shared" si="10"/>
        <v>1</v>
      </c>
      <c r="M50" s="1">
        <f t="shared" si="11"/>
        <v>4</v>
      </c>
    </row>
    <row r="51" spans="1:13" x14ac:dyDescent="0.25">
      <c r="A51" s="1" t="s">
        <v>450</v>
      </c>
      <c r="B51" s="2">
        <v>46127</v>
      </c>
      <c r="C51" s="1"/>
      <c r="D51" s="1">
        <v>7</v>
      </c>
      <c r="E51" s="7">
        <v>25000</v>
      </c>
      <c r="F51" s="24">
        <f t="shared" ref="F51:F112" si="12">G51-H51</f>
        <v>250000</v>
      </c>
      <c r="G51" s="7">
        <v>325000</v>
      </c>
      <c r="H51" s="10">
        <v>75000</v>
      </c>
      <c r="I51" s="2">
        <f t="shared" ref="I51:I112" si="13">IF(F51=0,"",IF(C51="CRED",B51+(INT((G51-F51)/E51)+1)*D51,B51+INT((G51-F51)/E51)*D51))</f>
        <v>46148</v>
      </c>
      <c r="J51" s="1">
        <f t="shared" ref="J51:J112" ca="1" si="14">IF(I51="","",I51-TODAY())</f>
        <v>-1</v>
      </c>
      <c r="K51" s="3" t="str">
        <f t="shared" ref="K51:K112" ca="1" si="15">IF(J51="","",IF(J51&lt;0,"VENCIDO",IF(J51&lt;=1,"PRÓXIMO","VIGENTE")))</f>
        <v>VENCIDO</v>
      </c>
      <c r="L51" s="1">
        <f t="shared" ref="L51:L112" si="16">IF(F51=G51,0,INT((G51-F51)/E51))</f>
        <v>3</v>
      </c>
      <c r="M51" s="1">
        <f t="shared" ref="M51:M112" si="17">IF(F51=0,0,INT(F51/E51)+(IF(MOD(F51,E51)&gt;0,1,0)))</f>
        <v>10</v>
      </c>
    </row>
    <row r="52" spans="1:13" x14ac:dyDescent="0.25">
      <c r="A52" s="1" t="s">
        <v>455</v>
      </c>
      <c r="B52" s="2">
        <v>46127</v>
      </c>
      <c r="C52" s="1" t="s">
        <v>13</v>
      </c>
      <c r="D52" s="1">
        <v>7</v>
      </c>
      <c r="E52" s="7">
        <v>36000</v>
      </c>
      <c r="F52" s="24">
        <f t="shared" si="12"/>
        <v>216000</v>
      </c>
      <c r="G52" s="7">
        <v>288000</v>
      </c>
      <c r="H52" s="10">
        <v>72000</v>
      </c>
      <c r="I52" s="2">
        <f t="shared" si="13"/>
        <v>46148</v>
      </c>
      <c r="J52" s="1">
        <f t="shared" ca="1" si="14"/>
        <v>-1</v>
      </c>
      <c r="K52" s="3" t="str">
        <f t="shared" ca="1" si="15"/>
        <v>VENCIDO</v>
      </c>
      <c r="L52" s="1">
        <f t="shared" si="16"/>
        <v>2</v>
      </c>
      <c r="M52" s="1">
        <f t="shared" si="17"/>
        <v>6</v>
      </c>
    </row>
    <row r="53" spans="1:13" ht="13.5" customHeight="1" x14ac:dyDescent="0.25">
      <c r="A53" s="1" t="s">
        <v>468</v>
      </c>
      <c r="B53" s="2">
        <v>46129</v>
      </c>
      <c r="C53" s="1"/>
      <c r="D53" s="1">
        <v>7</v>
      </c>
      <c r="E53" s="7">
        <v>30000</v>
      </c>
      <c r="F53" s="24">
        <f t="shared" si="12"/>
        <v>480000</v>
      </c>
      <c r="G53" s="7">
        <v>570000</v>
      </c>
      <c r="H53" s="10">
        <v>90000</v>
      </c>
      <c r="I53" s="2">
        <f t="shared" si="13"/>
        <v>46150</v>
      </c>
      <c r="J53" s="1">
        <f t="shared" ca="1" si="14"/>
        <v>1</v>
      </c>
      <c r="K53" s="3" t="str">
        <f t="shared" ca="1" si="15"/>
        <v>PRÓXIMO</v>
      </c>
      <c r="L53" s="1">
        <f t="shared" si="16"/>
        <v>3</v>
      </c>
      <c r="M53" s="1">
        <f t="shared" si="17"/>
        <v>16</v>
      </c>
    </row>
    <row r="54" spans="1:13" x14ac:dyDescent="0.25">
      <c r="A54" s="1" t="s">
        <v>472</v>
      </c>
      <c r="B54" s="2">
        <v>46130</v>
      </c>
      <c r="C54" s="1"/>
      <c r="D54" s="1">
        <v>7</v>
      </c>
      <c r="E54" s="7">
        <v>23000</v>
      </c>
      <c r="F54" s="24">
        <f t="shared" si="12"/>
        <v>161000</v>
      </c>
      <c r="G54" s="7">
        <v>230000</v>
      </c>
      <c r="H54" s="10">
        <v>69000</v>
      </c>
      <c r="I54" s="2">
        <f t="shared" si="13"/>
        <v>46151</v>
      </c>
      <c r="J54" s="1">
        <f t="shared" ca="1" si="14"/>
        <v>2</v>
      </c>
      <c r="K54" s="3" t="str">
        <f t="shared" ca="1" si="15"/>
        <v>VIGENTE</v>
      </c>
      <c r="L54" s="1">
        <f t="shared" si="16"/>
        <v>3</v>
      </c>
      <c r="M54" s="1">
        <f t="shared" si="17"/>
        <v>7</v>
      </c>
    </row>
    <row r="55" spans="1:13" x14ac:dyDescent="0.25">
      <c r="A55" s="1" t="s">
        <v>488</v>
      </c>
      <c r="B55" s="2">
        <v>46132</v>
      </c>
      <c r="C55" s="1"/>
      <c r="D55" s="1">
        <v>7</v>
      </c>
      <c r="E55" s="7">
        <v>83000</v>
      </c>
      <c r="F55" s="24">
        <f t="shared" si="12"/>
        <v>1909000</v>
      </c>
      <c r="G55" s="7">
        <v>2158000</v>
      </c>
      <c r="H55" s="10">
        <v>249000</v>
      </c>
      <c r="I55" s="2">
        <f t="shared" si="13"/>
        <v>46153</v>
      </c>
      <c r="J55" s="1">
        <f t="shared" ca="1" si="14"/>
        <v>4</v>
      </c>
      <c r="K55" s="3" t="str">
        <f t="shared" ca="1" si="15"/>
        <v>VIGENTE</v>
      </c>
      <c r="L55" s="1">
        <f t="shared" si="16"/>
        <v>3</v>
      </c>
      <c r="M55" s="1">
        <f t="shared" si="17"/>
        <v>23</v>
      </c>
    </row>
    <row r="56" spans="1:13" x14ac:dyDescent="0.25">
      <c r="A56" s="1" t="s">
        <v>482</v>
      </c>
      <c r="B56" s="2">
        <v>46132</v>
      </c>
      <c r="C56" s="1"/>
      <c r="D56" s="1">
        <v>7</v>
      </c>
      <c r="E56" s="7">
        <v>35000</v>
      </c>
      <c r="F56" s="24">
        <f t="shared" si="12"/>
        <v>700000</v>
      </c>
      <c r="G56" s="7">
        <v>700000</v>
      </c>
      <c r="H56" s="10"/>
      <c r="I56" s="2">
        <f t="shared" si="13"/>
        <v>46132</v>
      </c>
      <c r="J56" s="1">
        <f t="shared" ca="1" si="14"/>
        <v>-17</v>
      </c>
      <c r="K56" s="3" t="str">
        <f t="shared" ca="1" si="15"/>
        <v>VENCIDO</v>
      </c>
      <c r="L56" s="1">
        <f t="shared" si="16"/>
        <v>0</v>
      </c>
      <c r="M56" s="1">
        <f t="shared" si="17"/>
        <v>20</v>
      </c>
    </row>
    <row r="57" spans="1:13" x14ac:dyDescent="0.25">
      <c r="A57" s="1" t="s">
        <v>484</v>
      </c>
      <c r="B57" s="2">
        <v>46132</v>
      </c>
      <c r="C57" s="1"/>
      <c r="D57" s="1">
        <v>7</v>
      </c>
      <c r="E57" s="7">
        <v>30000</v>
      </c>
      <c r="F57" s="24">
        <f t="shared" si="12"/>
        <v>510000</v>
      </c>
      <c r="G57" s="7">
        <v>570000</v>
      </c>
      <c r="H57" s="10">
        <v>60000</v>
      </c>
      <c r="I57" s="2">
        <f t="shared" si="13"/>
        <v>46146</v>
      </c>
      <c r="J57" s="1">
        <f t="shared" ca="1" si="14"/>
        <v>-3</v>
      </c>
      <c r="K57" s="3" t="str">
        <f t="shared" ca="1" si="15"/>
        <v>VENCIDO</v>
      </c>
      <c r="L57" s="1">
        <f t="shared" si="16"/>
        <v>2</v>
      </c>
      <c r="M57" s="1">
        <f t="shared" si="17"/>
        <v>17</v>
      </c>
    </row>
    <row r="58" spans="1:13" x14ac:dyDescent="0.25">
      <c r="A58" s="1" t="s">
        <v>531</v>
      </c>
      <c r="B58" s="2">
        <v>46136</v>
      </c>
      <c r="C58" s="1" t="s">
        <v>13</v>
      </c>
      <c r="D58" s="1">
        <v>7</v>
      </c>
      <c r="E58" s="7">
        <v>60000</v>
      </c>
      <c r="F58" s="24">
        <f t="shared" si="12"/>
        <v>240000</v>
      </c>
      <c r="G58" s="7">
        <v>300000</v>
      </c>
      <c r="H58" s="10">
        <v>60000</v>
      </c>
      <c r="I58" s="2">
        <f t="shared" si="13"/>
        <v>46150</v>
      </c>
      <c r="J58" s="1">
        <f t="shared" ca="1" si="14"/>
        <v>1</v>
      </c>
      <c r="K58" s="3" t="str">
        <f t="shared" ca="1" si="15"/>
        <v>PRÓXIMO</v>
      </c>
      <c r="L58" s="1">
        <f t="shared" si="16"/>
        <v>1</v>
      </c>
      <c r="M58" s="1">
        <f t="shared" si="17"/>
        <v>4</v>
      </c>
    </row>
    <row r="59" spans="1:13" x14ac:dyDescent="0.25">
      <c r="A59" s="1" t="s">
        <v>540</v>
      </c>
      <c r="B59" s="2">
        <v>46139</v>
      </c>
      <c r="C59" s="1" t="s">
        <v>13</v>
      </c>
      <c r="D59" s="1">
        <v>7</v>
      </c>
      <c r="E59" s="7">
        <v>24000</v>
      </c>
      <c r="F59" s="24">
        <f t="shared" si="12"/>
        <v>168000</v>
      </c>
      <c r="G59" s="7">
        <v>192000</v>
      </c>
      <c r="H59" s="10">
        <v>24000</v>
      </c>
      <c r="I59" s="2">
        <f t="shared" si="13"/>
        <v>46153</v>
      </c>
      <c r="J59" s="1">
        <f t="shared" ca="1" si="14"/>
        <v>4</v>
      </c>
      <c r="K59" s="3" t="str">
        <f t="shared" ca="1" si="15"/>
        <v>VIGENTE</v>
      </c>
      <c r="L59" s="1">
        <f t="shared" si="16"/>
        <v>1</v>
      </c>
      <c r="M59" s="1">
        <f t="shared" si="17"/>
        <v>7</v>
      </c>
    </row>
    <row r="60" spans="1:13" x14ac:dyDescent="0.25">
      <c r="A60" s="1" t="s">
        <v>541</v>
      </c>
      <c r="B60" s="2">
        <v>46139</v>
      </c>
      <c r="C60" s="1"/>
      <c r="D60" s="1">
        <v>7</v>
      </c>
      <c r="E60" s="7">
        <v>35000</v>
      </c>
      <c r="F60" s="24">
        <f t="shared" si="12"/>
        <v>630000</v>
      </c>
      <c r="G60" s="7">
        <v>630000</v>
      </c>
      <c r="H60" s="10"/>
      <c r="I60" s="2">
        <f t="shared" si="13"/>
        <v>46139</v>
      </c>
      <c r="J60" s="1">
        <f t="shared" ca="1" si="14"/>
        <v>-10</v>
      </c>
      <c r="K60" s="3" t="str">
        <f t="shared" ca="1" si="15"/>
        <v>VENCIDO</v>
      </c>
      <c r="L60" s="1">
        <f t="shared" si="16"/>
        <v>0</v>
      </c>
      <c r="M60" s="1">
        <f t="shared" si="17"/>
        <v>18</v>
      </c>
    </row>
    <row r="61" spans="1:13" x14ac:dyDescent="0.25">
      <c r="A61" s="1" t="s">
        <v>554</v>
      </c>
      <c r="B61" s="2">
        <v>46141</v>
      </c>
      <c r="C61" s="1" t="s">
        <v>13</v>
      </c>
      <c r="D61" s="1">
        <v>7</v>
      </c>
      <c r="E61" s="7">
        <v>36000</v>
      </c>
      <c r="F61" s="24">
        <f t="shared" si="12"/>
        <v>288000</v>
      </c>
      <c r="G61" s="7">
        <v>288000</v>
      </c>
      <c r="H61" s="10"/>
      <c r="I61" s="2">
        <f t="shared" si="13"/>
        <v>46148</v>
      </c>
      <c r="J61" s="1">
        <f t="shared" ca="1" si="14"/>
        <v>-1</v>
      </c>
      <c r="K61" s="3" t="str">
        <f t="shared" ca="1" si="15"/>
        <v>VENCIDO</v>
      </c>
      <c r="L61" s="1">
        <f t="shared" si="16"/>
        <v>0</v>
      </c>
      <c r="M61" s="1">
        <f t="shared" si="17"/>
        <v>8</v>
      </c>
    </row>
    <row r="62" spans="1:13" x14ac:dyDescent="0.25">
      <c r="A62" s="1" t="s">
        <v>555</v>
      </c>
      <c r="B62" s="2">
        <v>46141</v>
      </c>
      <c r="C62" s="1"/>
      <c r="D62" s="1">
        <v>7</v>
      </c>
      <c r="E62" s="7">
        <v>30000</v>
      </c>
      <c r="F62" s="24">
        <f t="shared" si="12"/>
        <v>480000</v>
      </c>
      <c r="G62" s="7">
        <v>510000</v>
      </c>
      <c r="H62" s="10">
        <v>30000</v>
      </c>
      <c r="I62" s="2">
        <f t="shared" si="13"/>
        <v>46148</v>
      </c>
      <c r="J62" s="1">
        <f t="shared" ca="1" si="14"/>
        <v>-1</v>
      </c>
      <c r="K62" s="3" t="str">
        <f t="shared" ca="1" si="15"/>
        <v>VENCIDO</v>
      </c>
      <c r="L62" s="1">
        <f t="shared" si="16"/>
        <v>1</v>
      </c>
      <c r="M62" s="1">
        <f t="shared" si="17"/>
        <v>16</v>
      </c>
    </row>
    <row r="63" spans="1:13" x14ac:dyDescent="0.25">
      <c r="A63" s="1" t="s">
        <v>350</v>
      </c>
      <c r="B63" s="2">
        <v>46129</v>
      </c>
      <c r="C63" s="1" t="s">
        <v>13</v>
      </c>
      <c r="D63" s="1">
        <v>7</v>
      </c>
      <c r="E63" s="7">
        <v>57000</v>
      </c>
      <c r="F63" s="24">
        <f t="shared" si="12"/>
        <v>456000</v>
      </c>
      <c r="G63" s="7">
        <v>570000</v>
      </c>
      <c r="H63" s="10">
        <v>114000</v>
      </c>
      <c r="I63" s="2">
        <f t="shared" si="13"/>
        <v>46150</v>
      </c>
      <c r="J63" s="1">
        <f t="shared" ca="1" si="14"/>
        <v>1</v>
      </c>
      <c r="K63" s="3" t="str">
        <f t="shared" ca="1" si="15"/>
        <v>PRÓXIMO</v>
      </c>
      <c r="L63" s="1">
        <f t="shared" si="16"/>
        <v>2</v>
      </c>
      <c r="M63" s="1">
        <f t="shared" si="17"/>
        <v>8</v>
      </c>
    </row>
    <row r="64" spans="1:13" x14ac:dyDescent="0.25">
      <c r="A64" s="1" t="s">
        <v>575</v>
      </c>
      <c r="B64" s="2">
        <v>46146</v>
      </c>
      <c r="C64" s="1"/>
      <c r="D64" s="1">
        <v>15</v>
      </c>
      <c r="E64" s="7">
        <v>98000</v>
      </c>
      <c r="F64" s="24">
        <f t="shared" si="12"/>
        <v>1470000</v>
      </c>
      <c r="G64" s="7">
        <v>1470000</v>
      </c>
      <c r="H64" s="10"/>
      <c r="I64" s="2">
        <f t="shared" si="13"/>
        <v>46146</v>
      </c>
      <c r="J64" s="1">
        <f t="shared" ca="1" si="14"/>
        <v>-3</v>
      </c>
      <c r="K64" s="3" t="str">
        <f t="shared" ca="1" si="15"/>
        <v>VENCIDO</v>
      </c>
      <c r="L64" s="1">
        <f t="shared" si="16"/>
        <v>0</v>
      </c>
      <c r="M64" s="1">
        <f t="shared" si="17"/>
        <v>15</v>
      </c>
    </row>
    <row r="65" spans="1:13" x14ac:dyDescent="0.25">
      <c r="A65" s="1" t="s">
        <v>583</v>
      </c>
      <c r="B65" s="2">
        <v>46146</v>
      </c>
      <c r="C65" s="1" t="s">
        <v>13</v>
      </c>
      <c r="D65" s="1">
        <v>7</v>
      </c>
      <c r="E65" s="7">
        <v>36000</v>
      </c>
      <c r="F65" s="24">
        <f t="shared" si="12"/>
        <v>288000</v>
      </c>
      <c r="G65" s="7">
        <v>288000</v>
      </c>
      <c r="H65" s="10"/>
      <c r="I65" s="2">
        <f t="shared" si="13"/>
        <v>46153</v>
      </c>
      <c r="J65" s="1">
        <f t="shared" ca="1" si="14"/>
        <v>4</v>
      </c>
      <c r="K65" s="3" t="str">
        <f t="shared" ca="1" si="15"/>
        <v>VIGENTE</v>
      </c>
      <c r="L65" s="1">
        <f t="shared" si="16"/>
        <v>0</v>
      </c>
      <c r="M65" s="1">
        <f t="shared" si="17"/>
        <v>8</v>
      </c>
    </row>
    <row r="66" spans="1:13" x14ac:dyDescent="0.25">
      <c r="A66" s="1" t="s">
        <v>586</v>
      </c>
      <c r="B66" s="2">
        <v>46146</v>
      </c>
      <c r="C66" s="1"/>
      <c r="D66" s="1">
        <v>15</v>
      </c>
      <c r="E66" s="7">
        <v>100000</v>
      </c>
      <c r="F66" s="24">
        <f t="shared" si="12"/>
        <v>800000</v>
      </c>
      <c r="G66" s="7">
        <v>900000</v>
      </c>
      <c r="H66" s="10">
        <v>100000</v>
      </c>
      <c r="I66" s="2">
        <f t="shared" si="13"/>
        <v>46161</v>
      </c>
      <c r="J66" s="1">
        <f t="shared" ca="1" si="14"/>
        <v>12</v>
      </c>
      <c r="K66" s="3" t="str">
        <f t="shared" ca="1" si="15"/>
        <v>VIGENTE</v>
      </c>
      <c r="L66" s="1">
        <f t="shared" si="16"/>
        <v>1</v>
      </c>
      <c r="M66" s="1">
        <f t="shared" si="17"/>
        <v>8</v>
      </c>
    </row>
    <row r="67" spans="1:13" x14ac:dyDescent="0.25">
      <c r="A67" s="1" t="s">
        <v>588</v>
      </c>
      <c r="B67" s="2">
        <v>46147</v>
      </c>
      <c r="C67" s="1"/>
      <c r="D67" s="1">
        <v>7</v>
      </c>
      <c r="E67" s="7">
        <v>32000</v>
      </c>
      <c r="F67" s="24">
        <f t="shared" si="12"/>
        <v>448000</v>
      </c>
      <c r="G67" s="7">
        <v>448000</v>
      </c>
      <c r="H67" s="10"/>
      <c r="I67" s="2">
        <f t="shared" si="13"/>
        <v>46147</v>
      </c>
      <c r="J67" s="1">
        <f t="shared" ca="1" si="14"/>
        <v>-2</v>
      </c>
      <c r="K67" s="3" t="str">
        <f t="shared" ca="1" si="15"/>
        <v>VENCIDO</v>
      </c>
      <c r="L67" s="1">
        <f t="shared" si="16"/>
        <v>0</v>
      </c>
      <c r="M67" s="1">
        <f t="shared" si="17"/>
        <v>14</v>
      </c>
    </row>
    <row r="68" spans="1:13" x14ac:dyDescent="0.25">
      <c r="A68" s="1" t="s">
        <v>591</v>
      </c>
      <c r="B68" s="2">
        <v>46147</v>
      </c>
      <c r="C68" s="1"/>
      <c r="D68" s="1">
        <v>7</v>
      </c>
      <c r="E68" s="7">
        <v>38000</v>
      </c>
      <c r="F68" s="24">
        <f t="shared" si="12"/>
        <v>1102000</v>
      </c>
      <c r="G68" s="7">
        <v>1140000</v>
      </c>
      <c r="H68" s="10">
        <v>38000</v>
      </c>
      <c r="I68" s="2">
        <f t="shared" si="13"/>
        <v>46154</v>
      </c>
      <c r="J68" s="1">
        <f t="shared" ca="1" si="14"/>
        <v>5</v>
      </c>
      <c r="K68" s="3" t="str">
        <f t="shared" ca="1" si="15"/>
        <v>VIGENTE</v>
      </c>
      <c r="L68" s="1">
        <f t="shared" si="16"/>
        <v>1</v>
      </c>
      <c r="M68" s="1">
        <f t="shared" si="17"/>
        <v>29</v>
      </c>
    </row>
    <row r="69" spans="1:13" x14ac:dyDescent="0.25">
      <c r="A69" s="1"/>
      <c r="B69" s="2"/>
      <c r="C69" s="1"/>
      <c r="D69" s="1"/>
      <c r="E69" s="7"/>
      <c r="F69" s="24">
        <f t="shared" si="12"/>
        <v>0</v>
      </c>
      <c r="G69" s="7"/>
      <c r="H69" s="10"/>
      <c r="I69" s="2" t="str">
        <f t="shared" si="13"/>
        <v/>
      </c>
      <c r="J69" s="1" t="str">
        <f t="shared" ca="1" si="14"/>
        <v/>
      </c>
      <c r="K69" s="3" t="str">
        <f t="shared" ca="1" si="15"/>
        <v/>
      </c>
      <c r="L69" s="1">
        <f t="shared" si="16"/>
        <v>0</v>
      </c>
      <c r="M69" s="1">
        <f t="shared" si="17"/>
        <v>0</v>
      </c>
    </row>
    <row r="70" spans="1:13" x14ac:dyDescent="0.25">
      <c r="A70" s="1"/>
      <c r="B70" s="2"/>
      <c r="C70" s="1"/>
      <c r="D70" s="1"/>
      <c r="E70" s="7"/>
      <c r="F70" s="24">
        <f t="shared" si="12"/>
        <v>0</v>
      </c>
      <c r="G70" s="7"/>
      <c r="H70" s="10"/>
      <c r="I70" s="2" t="str">
        <f t="shared" si="13"/>
        <v/>
      </c>
      <c r="J70" s="1" t="str">
        <f t="shared" ca="1" si="14"/>
        <v/>
      </c>
      <c r="K70" s="3" t="str">
        <f t="shared" ca="1" si="15"/>
        <v/>
      </c>
      <c r="L70" s="1">
        <f t="shared" si="16"/>
        <v>0</v>
      </c>
      <c r="M70" s="1">
        <f t="shared" si="17"/>
        <v>0</v>
      </c>
    </row>
    <row r="71" spans="1:13" x14ac:dyDescent="0.25">
      <c r="A71" s="1"/>
      <c r="B71" s="2"/>
      <c r="C71" s="1"/>
      <c r="D71" s="1"/>
      <c r="E71" s="7"/>
      <c r="F71" s="24">
        <f t="shared" si="12"/>
        <v>0</v>
      </c>
      <c r="G71" s="7"/>
      <c r="H71" s="10"/>
      <c r="I71" s="2" t="str">
        <f t="shared" si="13"/>
        <v/>
      </c>
      <c r="J71" s="1" t="str">
        <f t="shared" ca="1" si="14"/>
        <v/>
      </c>
      <c r="K71" s="3" t="str">
        <f t="shared" ca="1" si="15"/>
        <v/>
      </c>
      <c r="L71" s="1">
        <f t="shared" si="16"/>
        <v>0</v>
      </c>
      <c r="M71" s="1">
        <f t="shared" si="17"/>
        <v>0</v>
      </c>
    </row>
    <row r="72" spans="1:13" x14ac:dyDescent="0.25">
      <c r="A72" s="1"/>
      <c r="B72" s="2"/>
      <c r="C72" s="1"/>
      <c r="D72" s="1"/>
      <c r="E72" s="7"/>
      <c r="F72" s="24">
        <f t="shared" si="12"/>
        <v>0</v>
      </c>
      <c r="G72" s="7"/>
      <c r="H72" s="10"/>
      <c r="I72" s="2" t="str">
        <f t="shared" si="13"/>
        <v/>
      </c>
      <c r="J72" s="1" t="str">
        <f t="shared" ca="1" si="14"/>
        <v/>
      </c>
      <c r="K72" s="3" t="str">
        <f t="shared" ca="1" si="15"/>
        <v/>
      </c>
      <c r="L72" s="1">
        <f t="shared" si="16"/>
        <v>0</v>
      </c>
      <c r="M72" s="1">
        <f t="shared" si="17"/>
        <v>0</v>
      </c>
    </row>
    <row r="73" spans="1:13" x14ac:dyDescent="0.25">
      <c r="A73" s="1"/>
      <c r="B73" s="2"/>
      <c r="C73" s="1"/>
      <c r="D73" s="1"/>
      <c r="E73" s="7"/>
      <c r="F73" s="24">
        <f t="shared" si="12"/>
        <v>0</v>
      </c>
      <c r="G73" s="7"/>
      <c r="H73" s="10"/>
      <c r="I73" s="2" t="str">
        <f t="shared" si="13"/>
        <v/>
      </c>
      <c r="J73" s="1" t="str">
        <f t="shared" ca="1" si="14"/>
        <v/>
      </c>
      <c r="K73" s="3" t="str">
        <f t="shared" ca="1" si="15"/>
        <v/>
      </c>
      <c r="L73" s="1">
        <f t="shared" si="16"/>
        <v>0</v>
      </c>
      <c r="M73" s="1">
        <f t="shared" si="17"/>
        <v>0</v>
      </c>
    </row>
    <row r="74" spans="1:13" x14ac:dyDescent="0.25">
      <c r="A74" s="1"/>
      <c r="B74" s="2"/>
      <c r="C74" s="1"/>
      <c r="D74" s="1"/>
      <c r="E74" s="7"/>
      <c r="F74" s="24">
        <f t="shared" si="12"/>
        <v>0</v>
      </c>
      <c r="G74" s="7"/>
      <c r="H74" s="10"/>
      <c r="I74" s="2" t="str">
        <f t="shared" si="13"/>
        <v/>
      </c>
      <c r="J74" s="1" t="str">
        <f t="shared" ca="1" si="14"/>
        <v/>
      </c>
      <c r="K74" s="3" t="str">
        <f t="shared" ca="1" si="15"/>
        <v/>
      </c>
      <c r="L74" s="1">
        <f t="shared" si="16"/>
        <v>0</v>
      </c>
      <c r="M74" s="1">
        <f t="shared" si="17"/>
        <v>0</v>
      </c>
    </row>
    <row r="75" spans="1:13" x14ac:dyDescent="0.25">
      <c r="A75" s="1"/>
      <c r="B75" s="2"/>
      <c r="C75" s="1"/>
      <c r="D75" s="1"/>
      <c r="E75" s="7"/>
      <c r="F75" s="24">
        <f t="shared" si="12"/>
        <v>0</v>
      </c>
      <c r="G75" s="7"/>
      <c r="H75" s="10"/>
      <c r="I75" s="2" t="str">
        <f t="shared" si="13"/>
        <v/>
      </c>
      <c r="J75" s="1" t="str">
        <f t="shared" ca="1" si="14"/>
        <v/>
      </c>
      <c r="K75" s="3" t="str">
        <f t="shared" ca="1" si="15"/>
        <v/>
      </c>
      <c r="L75" s="1">
        <f t="shared" si="16"/>
        <v>0</v>
      </c>
      <c r="M75" s="1">
        <f t="shared" si="17"/>
        <v>0</v>
      </c>
    </row>
    <row r="76" spans="1:13" x14ac:dyDescent="0.25">
      <c r="A76" s="1"/>
      <c r="B76" s="2"/>
      <c r="C76" s="1"/>
      <c r="D76" s="1"/>
      <c r="E76" s="7"/>
      <c r="F76" s="24">
        <f t="shared" si="12"/>
        <v>0</v>
      </c>
      <c r="G76" s="7"/>
      <c r="H76" s="10"/>
      <c r="I76" s="2" t="str">
        <f t="shared" si="13"/>
        <v/>
      </c>
      <c r="J76" s="1" t="str">
        <f t="shared" ca="1" si="14"/>
        <v/>
      </c>
      <c r="K76" s="3" t="str">
        <f t="shared" ca="1" si="15"/>
        <v/>
      </c>
      <c r="L76" s="1">
        <f t="shared" si="16"/>
        <v>0</v>
      </c>
      <c r="M76" s="1">
        <f t="shared" si="17"/>
        <v>0</v>
      </c>
    </row>
    <row r="77" spans="1:13" x14ac:dyDescent="0.25">
      <c r="A77" s="1"/>
      <c r="B77" s="2"/>
      <c r="C77" s="1"/>
      <c r="D77" s="1"/>
      <c r="E77" s="7"/>
      <c r="F77" s="24">
        <f t="shared" si="12"/>
        <v>0</v>
      </c>
      <c r="G77" s="7"/>
      <c r="H77" s="10"/>
      <c r="I77" s="2" t="str">
        <f t="shared" si="13"/>
        <v/>
      </c>
      <c r="J77" s="1" t="str">
        <f t="shared" ca="1" si="14"/>
        <v/>
      </c>
      <c r="K77" s="3" t="str">
        <f t="shared" ca="1" si="15"/>
        <v/>
      </c>
      <c r="L77" s="1">
        <f t="shared" si="16"/>
        <v>0</v>
      </c>
      <c r="M77" s="1">
        <f t="shared" si="17"/>
        <v>0</v>
      </c>
    </row>
    <row r="78" spans="1:13" x14ac:dyDescent="0.25">
      <c r="A78" s="1"/>
      <c r="B78" s="2"/>
      <c r="C78" s="1"/>
      <c r="D78" s="1"/>
      <c r="E78" s="7"/>
      <c r="F78" s="24">
        <f t="shared" si="12"/>
        <v>0</v>
      </c>
      <c r="G78" s="7"/>
      <c r="H78" s="10"/>
      <c r="I78" s="2" t="str">
        <f t="shared" si="13"/>
        <v/>
      </c>
      <c r="J78" s="1" t="str">
        <f t="shared" ca="1" si="14"/>
        <v/>
      </c>
      <c r="K78" s="3" t="str">
        <f t="shared" ca="1" si="15"/>
        <v/>
      </c>
      <c r="L78" s="1">
        <f t="shared" si="16"/>
        <v>0</v>
      </c>
      <c r="M78" s="1">
        <f t="shared" si="17"/>
        <v>0</v>
      </c>
    </row>
    <row r="79" spans="1:13" x14ac:dyDescent="0.25">
      <c r="A79" s="1"/>
      <c r="B79" s="2"/>
      <c r="C79" s="1"/>
      <c r="D79" s="1"/>
      <c r="E79" s="7"/>
      <c r="F79" s="24">
        <f t="shared" si="12"/>
        <v>0</v>
      </c>
      <c r="G79" s="7"/>
      <c r="H79" s="10"/>
      <c r="I79" s="2" t="str">
        <f t="shared" si="13"/>
        <v/>
      </c>
      <c r="J79" s="1" t="str">
        <f t="shared" ca="1" si="14"/>
        <v/>
      </c>
      <c r="K79" s="3" t="str">
        <f t="shared" ca="1" si="15"/>
        <v/>
      </c>
      <c r="L79" s="1">
        <f t="shared" si="16"/>
        <v>0</v>
      </c>
      <c r="M79" s="1">
        <f t="shared" si="17"/>
        <v>0</v>
      </c>
    </row>
    <row r="80" spans="1:13" x14ac:dyDescent="0.25">
      <c r="A80" s="1"/>
      <c r="B80" s="2"/>
      <c r="C80" s="1"/>
      <c r="D80" s="1"/>
      <c r="E80" s="7"/>
      <c r="F80" s="24">
        <f t="shared" si="12"/>
        <v>0</v>
      </c>
      <c r="G80" s="7"/>
      <c r="H80" s="10"/>
      <c r="I80" s="2" t="str">
        <f t="shared" si="13"/>
        <v/>
      </c>
      <c r="J80" s="1" t="str">
        <f t="shared" ca="1" si="14"/>
        <v/>
      </c>
      <c r="K80" s="3" t="str">
        <f t="shared" ca="1" si="15"/>
        <v/>
      </c>
      <c r="L80" s="1">
        <f t="shared" si="16"/>
        <v>0</v>
      </c>
      <c r="M80" s="1">
        <f t="shared" si="17"/>
        <v>0</v>
      </c>
    </row>
    <row r="81" spans="1:13" x14ac:dyDescent="0.25">
      <c r="A81" s="1"/>
      <c r="B81" s="2"/>
      <c r="C81" s="1"/>
      <c r="D81" s="1"/>
      <c r="E81" s="7"/>
      <c r="F81" s="24">
        <f t="shared" si="12"/>
        <v>0</v>
      </c>
      <c r="G81" s="7"/>
      <c r="H81" s="10"/>
      <c r="I81" s="2" t="str">
        <f t="shared" si="13"/>
        <v/>
      </c>
      <c r="J81" s="1" t="str">
        <f t="shared" ca="1" si="14"/>
        <v/>
      </c>
      <c r="K81" s="3" t="str">
        <f t="shared" ca="1" si="15"/>
        <v/>
      </c>
      <c r="L81" s="1">
        <f t="shared" si="16"/>
        <v>0</v>
      </c>
      <c r="M81" s="1">
        <f t="shared" si="17"/>
        <v>0</v>
      </c>
    </row>
    <row r="82" spans="1:13" x14ac:dyDescent="0.25">
      <c r="A82" s="1"/>
      <c r="B82" s="2"/>
      <c r="C82" s="1"/>
      <c r="D82" s="1"/>
      <c r="E82" s="7"/>
      <c r="F82" s="24">
        <f t="shared" si="12"/>
        <v>0</v>
      </c>
      <c r="G82" s="7"/>
      <c r="H82" s="10"/>
      <c r="I82" s="2" t="str">
        <f t="shared" si="13"/>
        <v/>
      </c>
      <c r="J82" s="1" t="str">
        <f t="shared" ca="1" si="14"/>
        <v/>
      </c>
      <c r="K82" s="3" t="str">
        <f t="shared" ca="1" si="15"/>
        <v/>
      </c>
      <c r="L82" s="1">
        <f t="shared" si="16"/>
        <v>0</v>
      </c>
      <c r="M82" s="1">
        <f t="shared" si="17"/>
        <v>0</v>
      </c>
    </row>
    <row r="83" spans="1:13" x14ac:dyDescent="0.25">
      <c r="A83" s="1"/>
      <c r="B83" s="2"/>
      <c r="C83" s="1"/>
      <c r="D83" s="1"/>
      <c r="E83" s="7"/>
      <c r="F83" s="24">
        <f t="shared" si="12"/>
        <v>0</v>
      </c>
      <c r="G83" s="7"/>
      <c r="H83" s="10"/>
      <c r="I83" s="2" t="str">
        <f t="shared" si="13"/>
        <v/>
      </c>
      <c r="J83" s="1" t="str">
        <f t="shared" ca="1" si="14"/>
        <v/>
      </c>
      <c r="K83" s="3" t="str">
        <f t="shared" ca="1" si="15"/>
        <v/>
      </c>
      <c r="L83" s="1">
        <f t="shared" si="16"/>
        <v>0</v>
      </c>
      <c r="M83" s="1">
        <f t="shared" si="17"/>
        <v>0</v>
      </c>
    </row>
    <row r="84" spans="1:13" x14ac:dyDescent="0.25">
      <c r="A84" s="1"/>
      <c r="B84" s="2"/>
      <c r="C84" s="1"/>
      <c r="D84" s="1"/>
      <c r="E84" s="7"/>
      <c r="F84" s="24">
        <f t="shared" si="12"/>
        <v>0</v>
      </c>
      <c r="G84" s="7"/>
      <c r="H84" s="10"/>
      <c r="I84" s="2" t="str">
        <f t="shared" si="13"/>
        <v/>
      </c>
      <c r="J84" s="1" t="str">
        <f t="shared" ca="1" si="14"/>
        <v/>
      </c>
      <c r="K84" s="3" t="str">
        <f t="shared" ca="1" si="15"/>
        <v/>
      </c>
      <c r="L84" s="1">
        <f t="shared" si="16"/>
        <v>0</v>
      </c>
      <c r="M84" s="1">
        <f t="shared" si="17"/>
        <v>0</v>
      </c>
    </row>
    <row r="85" spans="1:13" x14ac:dyDescent="0.25">
      <c r="A85" s="1"/>
      <c r="B85" s="2"/>
      <c r="C85" s="1"/>
      <c r="D85" s="1"/>
      <c r="E85" s="7"/>
      <c r="F85" s="24">
        <f t="shared" si="12"/>
        <v>0</v>
      </c>
      <c r="G85" s="7"/>
      <c r="H85" s="10"/>
      <c r="I85" s="2" t="str">
        <f t="shared" si="13"/>
        <v/>
      </c>
      <c r="J85" s="1" t="str">
        <f t="shared" ca="1" si="14"/>
        <v/>
      </c>
      <c r="K85" s="3" t="str">
        <f t="shared" ca="1" si="15"/>
        <v/>
      </c>
      <c r="L85" s="1">
        <f t="shared" si="16"/>
        <v>0</v>
      </c>
      <c r="M85" s="1">
        <f t="shared" si="17"/>
        <v>0</v>
      </c>
    </row>
    <row r="86" spans="1:13" x14ac:dyDescent="0.25">
      <c r="A86" s="1"/>
      <c r="B86" s="2"/>
      <c r="C86" s="1"/>
      <c r="D86" s="1"/>
      <c r="E86" s="7"/>
      <c r="F86" s="24">
        <f t="shared" si="12"/>
        <v>0</v>
      </c>
      <c r="G86" s="7"/>
      <c r="H86" s="10"/>
      <c r="I86" s="2" t="str">
        <f t="shared" si="13"/>
        <v/>
      </c>
      <c r="J86" s="1" t="str">
        <f t="shared" ca="1" si="14"/>
        <v/>
      </c>
      <c r="K86" s="3" t="str">
        <f t="shared" ca="1" si="15"/>
        <v/>
      </c>
      <c r="L86" s="1">
        <f t="shared" si="16"/>
        <v>0</v>
      </c>
      <c r="M86" s="1">
        <f t="shared" si="17"/>
        <v>0</v>
      </c>
    </row>
    <row r="87" spans="1:13" x14ac:dyDescent="0.25">
      <c r="A87" s="1"/>
      <c r="B87" s="2"/>
      <c r="C87" s="1"/>
      <c r="D87" s="1"/>
      <c r="E87" s="7"/>
      <c r="F87" s="24">
        <f t="shared" si="12"/>
        <v>0</v>
      </c>
      <c r="G87" s="7"/>
      <c r="H87" s="10"/>
      <c r="I87" s="2" t="str">
        <f t="shared" si="13"/>
        <v/>
      </c>
      <c r="J87" s="1" t="str">
        <f t="shared" ca="1" si="14"/>
        <v/>
      </c>
      <c r="K87" s="3" t="str">
        <f t="shared" ca="1" si="15"/>
        <v/>
      </c>
      <c r="L87" s="1">
        <f t="shared" si="16"/>
        <v>0</v>
      </c>
      <c r="M87" s="1">
        <f t="shared" si="17"/>
        <v>0</v>
      </c>
    </row>
    <row r="88" spans="1:13" x14ac:dyDescent="0.25">
      <c r="A88" s="1"/>
      <c r="B88" s="2"/>
      <c r="C88" s="1"/>
      <c r="D88" s="1"/>
      <c r="E88" s="7"/>
      <c r="F88" s="24">
        <f t="shared" si="12"/>
        <v>0</v>
      </c>
      <c r="G88" s="7"/>
      <c r="H88" s="10"/>
      <c r="I88" s="2" t="str">
        <f t="shared" si="13"/>
        <v/>
      </c>
      <c r="J88" s="1" t="str">
        <f t="shared" ca="1" si="14"/>
        <v/>
      </c>
      <c r="K88" s="3" t="str">
        <f t="shared" ca="1" si="15"/>
        <v/>
      </c>
      <c r="L88" s="1">
        <f t="shared" si="16"/>
        <v>0</v>
      </c>
      <c r="M88" s="1">
        <f t="shared" si="17"/>
        <v>0</v>
      </c>
    </row>
    <row r="89" spans="1:13" x14ac:dyDescent="0.25">
      <c r="A89" s="1"/>
      <c r="B89" s="2"/>
      <c r="C89" s="1"/>
      <c r="D89" s="1"/>
      <c r="E89" s="7"/>
      <c r="F89" s="24">
        <f t="shared" si="12"/>
        <v>0</v>
      </c>
      <c r="G89" s="7"/>
      <c r="H89" s="10"/>
      <c r="I89" s="2" t="str">
        <f t="shared" si="13"/>
        <v/>
      </c>
      <c r="J89" s="1" t="str">
        <f t="shared" ca="1" si="14"/>
        <v/>
      </c>
      <c r="K89" s="3" t="str">
        <f t="shared" ca="1" si="15"/>
        <v/>
      </c>
      <c r="L89" s="1">
        <f t="shared" si="16"/>
        <v>0</v>
      </c>
      <c r="M89" s="1">
        <f t="shared" si="17"/>
        <v>0</v>
      </c>
    </row>
    <row r="90" spans="1:13" x14ac:dyDescent="0.25">
      <c r="A90" s="1"/>
      <c r="B90" s="2"/>
      <c r="C90" s="1"/>
      <c r="D90" s="1"/>
      <c r="E90" s="7"/>
      <c r="F90" s="24">
        <f t="shared" si="12"/>
        <v>0</v>
      </c>
      <c r="G90" s="7"/>
      <c r="H90" s="10"/>
      <c r="I90" s="2" t="str">
        <f t="shared" si="13"/>
        <v/>
      </c>
      <c r="J90" s="1" t="str">
        <f t="shared" ca="1" si="14"/>
        <v/>
      </c>
      <c r="K90" s="3" t="str">
        <f t="shared" ca="1" si="15"/>
        <v/>
      </c>
      <c r="L90" s="1">
        <f t="shared" si="16"/>
        <v>0</v>
      </c>
      <c r="M90" s="1">
        <f t="shared" si="17"/>
        <v>0</v>
      </c>
    </row>
    <row r="91" spans="1:13" x14ac:dyDescent="0.25">
      <c r="A91" s="1"/>
      <c r="B91" s="2"/>
      <c r="C91" s="1"/>
      <c r="D91" s="1"/>
      <c r="E91" s="7"/>
      <c r="F91" s="24">
        <f t="shared" si="12"/>
        <v>0</v>
      </c>
      <c r="G91" s="7"/>
      <c r="H91" s="10"/>
      <c r="I91" s="2" t="str">
        <f t="shared" si="13"/>
        <v/>
      </c>
      <c r="J91" s="1" t="str">
        <f t="shared" ca="1" si="14"/>
        <v/>
      </c>
      <c r="K91" s="3" t="str">
        <f t="shared" ca="1" si="15"/>
        <v/>
      </c>
      <c r="L91" s="1">
        <f t="shared" si="16"/>
        <v>0</v>
      </c>
      <c r="M91" s="1">
        <f t="shared" si="17"/>
        <v>0</v>
      </c>
    </row>
    <row r="92" spans="1:13" x14ac:dyDescent="0.25">
      <c r="A92" s="1"/>
      <c r="B92" s="2"/>
      <c r="C92" s="1"/>
      <c r="D92" s="1"/>
      <c r="E92" s="7"/>
      <c r="F92" s="24">
        <f t="shared" si="12"/>
        <v>0</v>
      </c>
      <c r="G92" s="7"/>
      <c r="H92" s="10"/>
      <c r="I92" s="2" t="str">
        <f t="shared" si="13"/>
        <v/>
      </c>
      <c r="J92" s="1" t="str">
        <f t="shared" ca="1" si="14"/>
        <v/>
      </c>
      <c r="K92" s="3" t="str">
        <f t="shared" ca="1" si="15"/>
        <v/>
      </c>
      <c r="L92" s="1">
        <f t="shared" si="16"/>
        <v>0</v>
      </c>
      <c r="M92" s="1">
        <f t="shared" si="17"/>
        <v>0</v>
      </c>
    </row>
    <row r="93" spans="1:13" x14ac:dyDescent="0.25">
      <c r="A93" s="1"/>
      <c r="B93" s="2"/>
      <c r="C93" s="1"/>
      <c r="D93" s="1"/>
      <c r="E93" s="7"/>
      <c r="F93" s="24">
        <f t="shared" si="12"/>
        <v>0</v>
      </c>
      <c r="G93" s="7"/>
      <c r="H93" s="10"/>
      <c r="I93" s="2" t="str">
        <f t="shared" si="13"/>
        <v/>
      </c>
      <c r="J93" s="1" t="str">
        <f t="shared" ca="1" si="14"/>
        <v/>
      </c>
      <c r="K93" s="3" t="str">
        <f t="shared" ca="1" si="15"/>
        <v/>
      </c>
      <c r="L93" s="1">
        <f t="shared" si="16"/>
        <v>0</v>
      </c>
      <c r="M93" s="1">
        <f t="shared" si="17"/>
        <v>0</v>
      </c>
    </row>
    <row r="94" spans="1:13" x14ac:dyDescent="0.25">
      <c r="A94" s="1"/>
      <c r="B94" s="2"/>
      <c r="C94" s="1"/>
      <c r="D94" s="1"/>
      <c r="E94" s="7"/>
      <c r="F94" s="24">
        <f t="shared" si="12"/>
        <v>0</v>
      </c>
      <c r="G94" s="7"/>
      <c r="H94" s="10"/>
      <c r="I94" s="2" t="str">
        <f t="shared" si="13"/>
        <v/>
      </c>
      <c r="J94" s="1" t="str">
        <f t="shared" ca="1" si="14"/>
        <v/>
      </c>
      <c r="K94" s="3" t="str">
        <f t="shared" ca="1" si="15"/>
        <v/>
      </c>
      <c r="L94" s="1">
        <f t="shared" si="16"/>
        <v>0</v>
      </c>
      <c r="M94" s="1">
        <f t="shared" si="17"/>
        <v>0</v>
      </c>
    </row>
    <row r="95" spans="1:13" x14ac:dyDescent="0.25">
      <c r="A95" s="1"/>
      <c r="B95" s="2"/>
      <c r="C95" s="1"/>
      <c r="D95" s="1"/>
      <c r="E95" s="7"/>
      <c r="F95" s="24">
        <f t="shared" si="12"/>
        <v>0</v>
      </c>
      <c r="G95" s="7"/>
      <c r="H95" s="10"/>
      <c r="I95" s="2" t="str">
        <f t="shared" si="13"/>
        <v/>
      </c>
      <c r="J95" s="1" t="str">
        <f t="shared" ca="1" si="14"/>
        <v/>
      </c>
      <c r="K95" s="3" t="str">
        <f t="shared" ca="1" si="15"/>
        <v/>
      </c>
      <c r="L95" s="1">
        <f t="shared" si="16"/>
        <v>0</v>
      </c>
      <c r="M95" s="1">
        <f t="shared" si="17"/>
        <v>0</v>
      </c>
    </row>
    <row r="96" spans="1:13" x14ac:dyDescent="0.25">
      <c r="A96" s="1"/>
      <c r="B96" s="2"/>
      <c r="C96" s="1"/>
      <c r="D96" s="1"/>
      <c r="E96" s="7"/>
      <c r="F96" s="24">
        <f t="shared" si="12"/>
        <v>0</v>
      </c>
      <c r="G96" s="7"/>
      <c r="H96" s="10"/>
      <c r="I96" s="2" t="str">
        <f t="shared" si="13"/>
        <v/>
      </c>
      <c r="J96" s="1" t="str">
        <f t="shared" ca="1" si="14"/>
        <v/>
      </c>
      <c r="K96" s="3" t="str">
        <f t="shared" ca="1" si="15"/>
        <v/>
      </c>
      <c r="L96" s="1">
        <f t="shared" si="16"/>
        <v>0</v>
      </c>
      <c r="M96" s="1">
        <f t="shared" si="17"/>
        <v>0</v>
      </c>
    </row>
    <row r="97" spans="1:13" x14ac:dyDescent="0.25">
      <c r="A97" s="1"/>
      <c r="B97" s="2"/>
      <c r="C97" s="1"/>
      <c r="D97" s="1"/>
      <c r="E97" s="7"/>
      <c r="F97" s="24">
        <f t="shared" si="12"/>
        <v>0</v>
      </c>
      <c r="G97" s="7"/>
      <c r="H97" s="10"/>
      <c r="I97" s="2" t="str">
        <f t="shared" si="13"/>
        <v/>
      </c>
      <c r="J97" s="1" t="str">
        <f t="shared" ca="1" si="14"/>
        <v/>
      </c>
      <c r="K97" s="3" t="str">
        <f t="shared" ca="1" si="15"/>
        <v/>
      </c>
      <c r="L97" s="1">
        <f t="shared" si="16"/>
        <v>0</v>
      </c>
      <c r="M97" s="1">
        <f t="shared" si="17"/>
        <v>0</v>
      </c>
    </row>
    <row r="98" spans="1:13" x14ac:dyDescent="0.25">
      <c r="A98" s="1"/>
      <c r="B98" s="2"/>
      <c r="C98" s="1"/>
      <c r="D98" s="1"/>
      <c r="E98" s="7"/>
      <c r="F98" s="24">
        <f t="shared" si="12"/>
        <v>0</v>
      </c>
      <c r="G98" s="7"/>
      <c r="H98" s="10"/>
      <c r="I98" s="2" t="str">
        <f t="shared" si="13"/>
        <v/>
      </c>
      <c r="J98" s="1" t="str">
        <f t="shared" ca="1" si="14"/>
        <v/>
      </c>
      <c r="K98" s="3" t="str">
        <f t="shared" ca="1" si="15"/>
        <v/>
      </c>
      <c r="L98" s="1">
        <f t="shared" si="16"/>
        <v>0</v>
      </c>
      <c r="M98" s="1">
        <f t="shared" si="17"/>
        <v>0</v>
      </c>
    </row>
    <row r="99" spans="1:13" x14ac:dyDescent="0.25">
      <c r="A99" s="1"/>
      <c r="B99" s="2"/>
      <c r="C99" s="1"/>
      <c r="D99" s="1"/>
      <c r="E99" s="7"/>
      <c r="F99" s="24">
        <f t="shared" si="12"/>
        <v>0</v>
      </c>
      <c r="G99" s="7"/>
      <c r="H99" s="10"/>
      <c r="I99" s="2" t="str">
        <f t="shared" si="13"/>
        <v/>
      </c>
      <c r="J99" s="1" t="str">
        <f t="shared" ca="1" si="14"/>
        <v/>
      </c>
      <c r="K99" s="3" t="str">
        <f t="shared" ca="1" si="15"/>
        <v/>
      </c>
      <c r="L99" s="1">
        <f t="shared" si="16"/>
        <v>0</v>
      </c>
      <c r="M99" s="1">
        <f t="shared" si="17"/>
        <v>0</v>
      </c>
    </row>
    <row r="100" spans="1:13" x14ac:dyDescent="0.25">
      <c r="A100" s="1"/>
      <c r="B100" s="2"/>
      <c r="C100" s="1"/>
      <c r="D100" s="1"/>
      <c r="E100" s="7"/>
      <c r="F100" s="24">
        <f t="shared" si="12"/>
        <v>0</v>
      </c>
      <c r="G100" s="7"/>
      <c r="H100" s="10"/>
      <c r="I100" s="2" t="str">
        <f t="shared" si="13"/>
        <v/>
      </c>
      <c r="J100" s="1" t="str">
        <f t="shared" ca="1" si="14"/>
        <v/>
      </c>
      <c r="K100" s="3" t="str">
        <f t="shared" ca="1" si="15"/>
        <v/>
      </c>
      <c r="L100" s="1">
        <f t="shared" si="16"/>
        <v>0</v>
      </c>
      <c r="M100" s="1">
        <f t="shared" si="17"/>
        <v>0</v>
      </c>
    </row>
    <row r="101" spans="1:13" x14ac:dyDescent="0.25">
      <c r="A101" s="1"/>
      <c r="B101" s="2"/>
      <c r="C101" s="1"/>
      <c r="D101" s="1"/>
      <c r="E101" s="7"/>
      <c r="F101" s="24">
        <f t="shared" si="12"/>
        <v>0</v>
      </c>
      <c r="G101" s="7"/>
      <c r="H101" s="10"/>
      <c r="I101" s="2" t="str">
        <f t="shared" si="13"/>
        <v/>
      </c>
      <c r="J101" s="1" t="str">
        <f t="shared" ca="1" si="14"/>
        <v/>
      </c>
      <c r="K101" s="3" t="str">
        <f t="shared" ca="1" si="15"/>
        <v/>
      </c>
      <c r="L101" s="1">
        <f t="shared" si="16"/>
        <v>0</v>
      </c>
      <c r="M101" s="1">
        <f t="shared" si="17"/>
        <v>0</v>
      </c>
    </row>
    <row r="102" spans="1:13" x14ac:dyDescent="0.25">
      <c r="A102" s="1"/>
      <c r="B102" s="2"/>
      <c r="C102" s="1"/>
      <c r="D102" s="1"/>
      <c r="E102" s="7"/>
      <c r="F102" s="24">
        <f t="shared" si="12"/>
        <v>0</v>
      </c>
      <c r="G102" s="7"/>
      <c r="H102" s="10"/>
      <c r="I102" s="2" t="str">
        <f t="shared" si="13"/>
        <v/>
      </c>
      <c r="J102" s="1" t="str">
        <f t="shared" ca="1" si="14"/>
        <v/>
      </c>
      <c r="K102" s="3" t="str">
        <f t="shared" ca="1" si="15"/>
        <v/>
      </c>
      <c r="L102" s="1">
        <f t="shared" si="16"/>
        <v>0</v>
      </c>
      <c r="M102" s="1">
        <f t="shared" si="17"/>
        <v>0</v>
      </c>
    </row>
    <row r="103" spans="1:13" x14ac:dyDescent="0.25">
      <c r="A103" s="1"/>
      <c r="B103" s="2"/>
      <c r="C103" s="1"/>
      <c r="D103" s="1"/>
      <c r="E103" s="7"/>
      <c r="F103" s="24">
        <f t="shared" si="12"/>
        <v>0</v>
      </c>
      <c r="G103" s="7"/>
      <c r="H103" s="10"/>
      <c r="I103" s="2" t="str">
        <f t="shared" si="13"/>
        <v/>
      </c>
      <c r="J103" s="1" t="str">
        <f t="shared" ca="1" si="14"/>
        <v/>
      </c>
      <c r="K103" s="3" t="str">
        <f t="shared" ca="1" si="15"/>
        <v/>
      </c>
      <c r="L103" s="1">
        <f t="shared" si="16"/>
        <v>0</v>
      </c>
      <c r="M103" s="1">
        <f t="shared" si="17"/>
        <v>0</v>
      </c>
    </row>
    <row r="104" spans="1:13" x14ac:dyDescent="0.25">
      <c r="A104" s="1"/>
      <c r="B104" s="2"/>
      <c r="C104" s="1"/>
      <c r="D104" s="1"/>
      <c r="E104" s="7"/>
      <c r="F104" s="24">
        <f t="shared" si="12"/>
        <v>0</v>
      </c>
      <c r="G104" s="7"/>
      <c r="H104" s="10"/>
      <c r="I104" s="2" t="str">
        <f t="shared" si="13"/>
        <v/>
      </c>
      <c r="J104" s="1" t="str">
        <f t="shared" ca="1" si="14"/>
        <v/>
      </c>
      <c r="K104" s="3" t="str">
        <f t="shared" ca="1" si="15"/>
        <v/>
      </c>
      <c r="L104" s="1">
        <f t="shared" si="16"/>
        <v>0</v>
      </c>
      <c r="M104" s="1">
        <f t="shared" si="17"/>
        <v>0</v>
      </c>
    </row>
    <row r="105" spans="1:13" x14ac:dyDescent="0.25">
      <c r="A105" s="1"/>
      <c r="B105" s="2"/>
      <c r="C105" s="1"/>
      <c r="D105" s="1"/>
      <c r="E105" s="7"/>
      <c r="F105" s="24">
        <f t="shared" si="12"/>
        <v>0</v>
      </c>
      <c r="G105" s="7"/>
      <c r="H105" s="10"/>
      <c r="I105" s="2" t="str">
        <f t="shared" si="13"/>
        <v/>
      </c>
      <c r="J105" s="1" t="str">
        <f t="shared" ca="1" si="14"/>
        <v/>
      </c>
      <c r="K105" s="3" t="str">
        <f t="shared" ca="1" si="15"/>
        <v/>
      </c>
      <c r="L105" s="1">
        <f t="shared" si="16"/>
        <v>0</v>
      </c>
      <c r="M105" s="1">
        <f t="shared" si="17"/>
        <v>0</v>
      </c>
    </row>
    <row r="106" spans="1:13" x14ac:dyDescent="0.25">
      <c r="A106" s="1"/>
      <c r="B106" s="2"/>
      <c r="C106" s="1"/>
      <c r="D106" s="1"/>
      <c r="E106" s="7"/>
      <c r="F106" s="24">
        <f t="shared" si="12"/>
        <v>0</v>
      </c>
      <c r="G106" s="7"/>
      <c r="H106" s="10"/>
      <c r="I106" s="2" t="str">
        <f t="shared" si="13"/>
        <v/>
      </c>
      <c r="J106" s="1" t="str">
        <f t="shared" ca="1" si="14"/>
        <v/>
      </c>
      <c r="K106" s="3" t="str">
        <f t="shared" ca="1" si="15"/>
        <v/>
      </c>
      <c r="L106" s="1">
        <f t="shared" si="16"/>
        <v>0</v>
      </c>
      <c r="M106" s="1">
        <f t="shared" si="17"/>
        <v>0</v>
      </c>
    </row>
    <row r="107" spans="1:13" x14ac:dyDescent="0.25">
      <c r="A107" s="1"/>
      <c r="B107" s="2"/>
      <c r="C107" s="1"/>
      <c r="D107" s="1"/>
      <c r="E107" s="7"/>
      <c r="F107" s="24">
        <f t="shared" si="12"/>
        <v>0</v>
      </c>
      <c r="G107" s="7"/>
      <c r="H107" s="10"/>
      <c r="I107" s="2" t="str">
        <f t="shared" si="13"/>
        <v/>
      </c>
      <c r="J107" s="1" t="str">
        <f t="shared" ca="1" si="14"/>
        <v/>
      </c>
      <c r="K107" s="3" t="str">
        <f t="shared" ca="1" si="15"/>
        <v/>
      </c>
      <c r="L107" s="1">
        <f t="shared" si="16"/>
        <v>0</v>
      </c>
      <c r="M107" s="1">
        <f t="shared" si="17"/>
        <v>0</v>
      </c>
    </row>
    <row r="108" spans="1:13" x14ac:dyDescent="0.25">
      <c r="A108" s="1"/>
      <c r="B108" s="2"/>
      <c r="C108" s="1"/>
      <c r="D108" s="1"/>
      <c r="E108" s="7"/>
      <c r="F108" s="24">
        <f t="shared" si="12"/>
        <v>0</v>
      </c>
      <c r="G108" s="7"/>
      <c r="H108" s="10"/>
      <c r="I108" s="2" t="str">
        <f t="shared" si="13"/>
        <v/>
      </c>
      <c r="J108" s="1" t="str">
        <f t="shared" ca="1" si="14"/>
        <v/>
      </c>
      <c r="K108" s="3" t="str">
        <f t="shared" ca="1" si="15"/>
        <v/>
      </c>
      <c r="L108" s="1">
        <f t="shared" si="16"/>
        <v>0</v>
      </c>
      <c r="M108" s="1">
        <f t="shared" si="17"/>
        <v>0</v>
      </c>
    </row>
    <row r="109" spans="1:13" x14ac:dyDescent="0.25">
      <c r="A109" s="1"/>
      <c r="B109" s="2"/>
      <c r="C109" s="1"/>
      <c r="D109" s="1"/>
      <c r="E109" s="7"/>
      <c r="F109" s="24">
        <f t="shared" si="12"/>
        <v>0</v>
      </c>
      <c r="G109" s="7"/>
      <c r="H109" s="10"/>
      <c r="I109" s="2" t="str">
        <f t="shared" si="13"/>
        <v/>
      </c>
      <c r="J109" s="1" t="str">
        <f t="shared" ca="1" si="14"/>
        <v/>
      </c>
      <c r="K109" s="3" t="str">
        <f t="shared" ca="1" si="15"/>
        <v/>
      </c>
      <c r="L109" s="1">
        <f t="shared" si="16"/>
        <v>0</v>
      </c>
      <c r="M109" s="1">
        <f t="shared" si="17"/>
        <v>0</v>
      </c>
    </row>
    <row r="110" spans="1:13" x14ac:dyDescent="0.25">
      <c r="A110" s="1"/>
      <c r="B110" s="2"/>
      <c r="C110" s="1"/>
      <c r="D110" s="1"/>
      <c r="E110" s="7"/>
      <c r="F110" s="24">
        <f t="shared" si="12"/>
        <v>0</v>
      </c>
      <c r="G110" s="7"/>
      <c r="H110" s="10"/>
      <c r="I110" s="2" t="str">
        <f t="shared" si="13"/>
        <v/>
      </c>
      <c r="J110" s="1" t="str">
        <f t="shared" ca="1" si="14"/>
        <v/>
      </c>
      <c r="K110" s="3" t="str">
        <f t="shared" ca="1" si="15"/>
        <v/>
      </c>
      <c r="L110" s="1">
        <f t="shared" si="16"/>
        <v>0</v>
      </c>
      <c r="M110" s="1">
        <f t="shared" si="17"/>
        <v>0</v>
      </c>
    </row>
    <row r="111" spans="1:13" x14ac:dyDescent="0.25">
      <c r="A111" s="1"/>
      <c r="B111" s="2"/>
      <c r="C111" s="1"/>
      <c r="D111" s="1"/>
      <c r="E111" s="7"/>
      <c r="F111" s="24">
        <f t="shared" si="12"/>
        <v>0</v>
      </c>
      <c r="G111" s="7"/>
      <c r="H111" s="10"/>
      <c r="I111" s="2" t="str">
        <f t="shared" si="13"/>
        <v/>
      </c>
      <c r="J111" s="1" t="str">
        <f t="shared" ca="1" si="14"/>
        <v/>
      </c>
      <c r="K111" s="3" t="str">
        <f t="shared" ca="1" si="15"/>
        <v/>
      </c>
      <c r="L111" s="1">
        <f t="shared" si="16"/>
        <v>0</v>
      </c>
      <c r="M111" s="1">
        <f t="shared" si="17"/>
        <v>0</v>
      </c>
    </row>
    <row r="112" spans="1:13" x14ac:dyDescent="0.25">
      <c r="A112" s="1"/>
      <c r="B112" s="2"/>
      <c r="C112" s="1"/>
      <c r="D112" s="1"/>
      <c r="E112" s="7"/>
      <c r="F112" s="24">
        <f t="shared" si="12"/>
        <v>0</v>
      </c>
      <c r="G112" s="7"/>
      <c r="H112" s="10"/>
      <c r="I112" s="2" t="str">
        <f t="shared" si="13"/>
        <v/>
      </c>
      <c r="J112" s="1" t="str">
        <f t="shared" ca="1" si="14"/>
        <v/>
      </c>
      <c r="K112" s="3" t="str">
        <f t="shared" ca="1" si="15"/>
        <v/>
      </c>
      <c r="L112" s="1">
        <f t="shared" si="16"/>
        <v>0</v>
      </c>
      <c r="M112" s="1">
        <f t="shared" si="17"/>
        <v>0</v>
      </c>
    </row>
    <row r="113" spans="1:13" x14ac:dyDescent="0.25">
      <c r="A113" s="1"/>
      <c r="B113" s="2"/>
      <c r="C113" s="1"/>
      <c r="D113" s="1"/>
      <c r="E113" s="7"/>
      <c r="F113" s="24">
        <f t="shared" ref="F113:F176" si="18">G113-H113</f>
        <v>0</v>
      </c>
      <c r="G113" s="7"/>
      <c r="H113" s="10"/>
      <c r="I113" s="2" t="str">
        <f t="shared" ref="I113:I176" si="19">IF(F113=0,"",IF(C113="CRED",B113+(INT((G113-F113)/E113)+1)*D113,B113+INT((G113-F113)/E113)*D113))</f>
        <v/>
      </c>
      <c r="J113" s="1" t="str">
        <f t="shared" ref="J113:J176" ca="1" si="20">IF(I113="","",I113-TODAY())</f>
        <v/>
      </c>
      <c r="K113" s="3" t="str">
        <f t="shared" ref="K113:K176" ca="1" si="21">IF(J113="","",IF(J113&lt;0,"VENCIDO",IF(J113&lt;=1,"PRÓXIMO","VIGENTE")))</f>
        <v/>
      </c>
      <c r="L113" s="1">
        <f t="shared" ref="L113:L176" si="22">IF(F113=G113,0,INT((G113-F113)/E113))</f>
        <v>0</v>
      </c>
      <c r="M113" s="1">
        <f t="shared" ref="M113:M176" si="23">IF(F113=0,0,INT(F113/E113)+(IF(MOD(F113,E113)&gt;0,1,0)))</f>
        <v>0</v>
      </c>
    </row>
    <row r="114" spans="1:13" x14ac:dyDescent="0.25">
      <c r="A114" s="1"/>
      <c r="B114" s="2"/>
      <c r="C114" s="1"/>
      <c r="D114" s="1"/>
      <c r="E114" s="7"/>
      <c r="F114" s="24">
        <f t="shared" si="18"/>
        <v>0</v>
      </c>
      <c r="G114" s="7"/>
      <c r="H114" s="10"/>
      <c r="I114" s="2" t="str">
        <f t="shared" si="19"/>
        <v/>
      </c>
      <c r="J114" s="1" t="str">
        <f t="shared" ca="1" si="20"/>
        <v/>
      </c>
      <c r="K114" s="3" t="str">
        <f t="shared" ca="1" si="21"/>
        <v/>
      </c>
      <c r="L114" s="1">
        <f t="shared" si="22"/>
        <v>0</v>
      </c>
      <c r="M114" s="1">
        <f t="shared" si="23"/>
        <v>0</v>
      </c>
    </row>
    <row r="115" spans="1:13" x14ac:dyDescent="0.25">
      <c r="A115" s="1"/>
      <c r="B115" s="2"/>
      <c r="C115" s="1"/>
      <c r="D115" s="1"/>
      <c r="E115" s="7"/>
      <c r="F115" s="24">
        <f t="shared" si="18"/>
        <v>0</v>
      </c>
      <c r="G115" s="7"/>
      <c r="H115" s="10"/>
      <c r="I115" s="2" t="str">
        <f t="shared" si="19"/>
        <v/>
      </c>
      <c r="J115" s="1" t="str">
        <f t="shared" ca="1" si="20"/>
        <v/>
      </c>
      <c r="K115" s="3" t="str">
        <f t="shared" ca="1" si="21"/>
        <v/>
      </c>
      <c r="L115" s="1">
        <f t="shared" si="22"/>
        <v>0</v>
      </c>
      <c r="M115" s="1">
        <f t="shared" si="23"/>
        <v>0</v>
      </c>
    </row>
    <row r="116" spans="1:13" x14ac:dyDescent="0.25">
      <c r="A116" s="1"/>
      <c r="B116" s="2"/>
      <c r="C116" s="1"/>
      <c r="D116" s="1"/>
      <c r="E116" s="7"/>
      <c r="F116" s="24">
        <f t="shared" si="18"/>
        <v>0</v>
      </c>
      <c r="G116" s="7"/>
      <c r="H116" s="10"/>
      <c r="I116" s="2" t="str">
        <f t="shared" si="19"/>
        <v/>
      </c>
      <c r="J116" s="1" t="str">
        <f t="shared" ca="1" si="20"/>
        <v/>
      </c>
      <c r="K116" s="3" t="str">
        <f t="shared" ca="1" si="21"/>
        <v/>
      </c>
      <c r="L116" s="1">
        <f t="shared" si="22"/>
        <v>0</v>
      </c>
      <c r="M116" s="1">
        <f t="shared" si="23"/>
        <v>0</v>
      </c>
    </row>
    <row r="117" spans="1:13" x14ac:dyDescent="0.25">
      <c r="A117" s="1"/>
      <c r="B117" s="2"/>
      <c r="C117" s="1"/>
      <c r="D117" s="1"/>
      <c r="E117" s="7"/>
      <c r="F117" s="24">
        <f t="shared" si="18"/>
        <v>0</v>
      </c>
      <c r="G117" s="7"/>
      <c r="H117" s="10"/>
      <c r="I117" s="2" t="str">
        <f t="shared" si="19"/>
        <v/>
      </c>
      <c r="J117" s="1" t="str">
        <f t="shared" ca="1" si="20"/>
        <v/>
      </c>
      <c r="K117" s="3" t="str">
        <f t="shared" ca="1" si="21"/>
        <v/>
      </c>
      <c r="L117" s="1">
        <f t="shared" si="22"/>
        <v>0</v>
      </c>
      <c r="M117" s="1">
        <f t="shared" si="23"/>
        <v>0</v>
      </c>
    </row>
    <row r="118" spans="1:13" x14ac:dyDescent="0.25">
      <c r="A118" s="1"/>
      <c r="B118" s="2"/>
      <c r="C118" s="1"/>
      <c r="D118" s="1"/>
      <c r="E118" s="7"/>
      <c r="F118" s="24">
        <f t="shared" si="18"/>
        <v>0</v>
      </c>
      <c r="G118" s="7"/>
      <c r="H118" s="10"/>
      <c r="I118" s="2" t="str">
        <f t="shared" si="19"/>
        <v/>
      </c>
      <c r="J118" s="1" t="str">
        <f t="shared" ca="1" si="20"/>
        <v/>
      </c>
      <c r="K118" s="3" t="str">
        <f t="shared" ca="1" si="21"/>
        <v/>
      </c>
      <c r="L118" s="1">
        <f t="shared" si="22"/>
        <v>0</v>
      </c>
      <c r="M118" s="1">
        <f t="shared" si="23"/>
        <v>0</v>
      </c>
    </row>
    <row r="119" spans="1:13" x14ac:dyDescent="0.25">
      <c r="A119" s="1"/>
      <c r="B119" s="2"/>
      <c r="C119" s="1"/>
      <c r="D119" s="1"/>
      <c r="E119" s="7"/>
      <c r="F119" s="24">
        <f t="shared" si="18"/>
        <v>0</v>
      </c>
      <c r="G119" s="7"/>
      <c r="H119" s="10"/>
      <c r="I119" s="2" t="str">
        <f t="shared" si="19"/>
        <v/>
      </c>
      <c r="J119" s="1" t="str">
        <f t="shared" ca="1" si="20"/>
        <v/>
      </c>
      <c r="K119" s="3" t="str">
        <f t="shared" ca="1" si="21"/>
        <v/>
      </c>
      <c r="L119" s="1">
        <f t="shared" si="22"/>
        <v>0</v>
      </c>
      <c r="M119" s="1">
        <f t="shared" si="23"/>
        <v>0</v>
      </c>
    </row>
    <row r="120" spans="1:13" x14ac:dyDescent="0.25">
      <c r="A120" s="1"/>
      <c r="B120" s="2"/>
      <c r="C120" s="1"/>
      <c r="D120" s="1"/>
      <c r="E120" s="7"/>
      <c r="F120" s="24">
        <f t="shared" si="18"/>
        <v>0</v>
      </c>
      <c r="G120" s="7"/>
      <c r="H120" s="10"/>
      <c r="I120" s="2" t="str">
        <f t="shared" si="19"/>
        <v/>
      </c>
      <c r="J120" s="1" t="str">
        <f t="shared" ca="1" si="20"/>
        <v/>
      </c>
      <c r="K120" s="3" t="str">
        <f t="shared" ca="1" si="21"/>
        <v/>
      </c>
      <c r="L120" s="1">
        <f t="shared" si="22"/>
        <v>0</v>
      </c>
      <c r="M120" s="1">
        <f t="shared" si="23"/>
        <v>0</v>
      </c>
    </row>
    <row r="121" spans="1:13" x14ac:dyDescent="0.25">
      <c r="A121" s="1"/>
      <c r="B121" s="2"/>
      <c r="C121" s="1"/>
      <c r="D121" s="1"/>
      <c r="E121" s="7"/>
      <c r="F121" s="24">
        <f t="shared" si="18"/>
        <v>0</v>
      </c>
      <c r="G121" s="7"/>
      <c r="H121" s="10"/>
      <c r="I121" s="2" t="str">
        <f t="shared" si="19"/>
        <v/>
      </c>
      <c r="J121" s="1" t="str">
        <f t="shared" ca="1" si="20"/>
        <v/>
      </c>
      <c r="K121" s="3" t="str">
        <f t="shared" ca="1" si="21"/>
        <v/>
      </c>
      <c r="L121" s="1">
        <f t="shared" si="22"/>
        <v>0</v>
      </c>
      <c r="M121" s="1">
        <f t="shared" si="23"/>
        <v>0</v>
      </c>
    </row>
    <row r="122" spans="1:13" x14ac:dyDescent="0.25">
      <c r="A122" s="1"/>
      <c r="B122" s="2"/>
      <c r="C122" s="1"/>
      <c r="D122" s="1"/>
      <c r="E122" s="7"/>
      <c r="F122" s="24">
        <f t="shared" si="18"/>
        <v>0</v>
      </c>
      <c r="G122" s="7"/>
      <c r="H122" s="10"/>
      <c r="I122" s="2" t="str">
        <f t="shared" si="19"/>
        <v/>
      </c>
      <c r="J122" s="1" t="str">
        <f t="shared" ca="1" si="20"/>
        <v/>
      </c>
      <c r="K122" s="3" t="str">
        <f t="shared" ca="1" si="21"/>
        <v/>
      </c>
      <c r="L122" s="1">
        <f t="shared" si="22"/>
        <v>0</v>
      </c>
      <c r="M122" s="1">
        <f t="shared" si="23"/>
        <v>0</v>
      </c>
    </row>
    <row r="123" spans="1:13" x14ac:dyDescent="0.25">
      <c r="A123" s="1"/>
      <c r="B123" s="2"/>
      <c r="C123" s="1"/>
      <c r="D123" s="1"/>
      <c r="E123" s="7"/>
      <c r="F123" s="24">
        <f t="shared" si="18"/>
        <v>0</v>
      </c>
      <c r="G123" s="7"/>
      <c r="H123" s="10"/>
      <c r="I123" s="2" t="str">
        <f t="shared" si="19"/>
        <v/>
      </c>
      <c r="J123" s="1" t="str">
        <f t="shared" ca="1" si="20"/>
        <v/>
      </c>
      <c r="K123" s="3" t="str">
        <f t="shared" ca="1" si="21"/>
        <v/>
      </c>
      <c r="L123" s="1">
        <f t="shared" si="22"/>
        <v>0</v>
      </c>
      <c r="M123" s="1">
        <f t="shared" si="23"/>
        <v>0</v>
      </c>
    </row>
    <row r="124" spans="1:13" x14ac:dyDescent="0.25">
      <c r="A124" s="1"/>
      <c r="B124" s="2"/>
      <c r="C124" s="1"/>
      <c r="D124" s="1"/>
      <c r="E124" s="7"/>
      <c r="F124" s="24">
        <f t="shared" si="18"/>
        <v>0</v>
      </c>
      <c r="G124" s="7"/>
      <c r="H124" s="10"/>
      <c r="I124" s="2" t="str">
        <f t="shared" si="19"/>
        <v/>
      </c>
      <c r="J124" s="1" t="str">
        <f t="shared" ca="1" si="20"/>
        <v/>
      </c>
      <c r="K124" s="3" t="str">
        <f t="shared" ca="1" si="21"/>
        <v/>
      </c>
      <c r="L124" s="1">
        <f t="shared" si="22"/>
        <v>0</v>
      </c>
      <c r="M124" s="1">
        <f t="shared" si="23"/>
        <v>0</v>
      </c>
    </row>
    <row r="125" spans="1:13" x14ac:dyDescent="0.25">
      <c r="A125" s="1"/>
      <c r="B125" s="2"/>
      <c r="C125" s="1"/>
      <c r="D125" s="1"/>
      <c r="E125" s="7"/>
      <c r="F125" s="24">
        <f t="shared" si="18"/>
        <v>0</v>
      </c>
      <c r="G125" s="7"/>
      <c r="H125" s="10"/>
      <c r="I125" s="2" t="str">
        <f t="shared" si="19"/>
        <v/>
      </c>
      <c r="J125" s="1" t="str">
        <f t="shared" ca="1" si="20"/>
        <v/>
      </c>
      <c r="K125" s="3" t="str">
        <f t="shared" ca="1" si="21"/>
        <v/>
      </c>
      <c r="L125" s="1">
        <f t="shared" si="22"/>
        <v>0</v>
      </c>
      <c r="M125" s="1">
        <f t="shared" si="23"/>
        <v>0</v>
      </c>
    </row>
    <row r="126" spans="1:13" x14ac:dyDescent="0.25">
      <c r="A126" s="1"/>
      <c r="B126" s="2"/>
      <c r="C126" s="1"/>
      <c r="D126" s="1"/>
      <c r="E126" s="7"/>
      <c r="F126" s="24">
        <f t="shared" si="18"/>
        <v>0</v>
      </c>
      <c r="G126" s="7"/>
      <c r="H126" s="10"/>
      <c r="I126" s="2" t="str">
        <f t="shared" si="19"/>
        <v/>
      </c>
      <c r="J126" s="1" t="str">
        <f t="shared" ca="1" si="20"/>
        <v/>
      </c>
      <c r="K126" s="3" t="str">
        <f t="shared" ca="1" si="21"/>
        <v/>
      </c>
      <c r="L126" s="1">
        <f t="shared" si="22"/>
        <v>0</v>
      </c>
      <c r="M126" s="1">
        <f t="shared" si="23"/>
        <v>0</v>
      </c>
    </row>
    <row r="127" spans="1:13" x14ac:dyDescent="0.25">
      <c r="A127" s="1"/>
      <c r="B127" s="2"/>
      <c r="C127" s="1"/>
      <c r="D127" s="1"/>
      <c r="E127" s="7"/>
      <c r="F127" s="24">
        <f t="shared" si="18"/>
        <v>0</v>
      </c>
      <c r="G127" s="7"/>
      <c r="H127" s="10"/>
      <c r="I127" s="2" t="str">
        <f t="shared" si="19"/>
        <v/>
      </c>
      <c r="J127" s="1" t="str">
        <f t="shared" ca="1" si="20"/>
        <v/>
      </c>
      <c r="K127" s="3" t="str">
        <f t="shared" ca="1" si="21"/>
        <v/>
      </c>
      <c r="L127" s="1">
        <f t="shared" si="22"/>
        <v>0</v>
      </c>
      <c r="M127" s="1">
        <f t="shared" si="23"/>
        <v>0</v>
      </c>
    </row>
    <row r="128" spans="1:13" x14ac:dyDescent="0.25">
      <c r="A128" s="1"/>
      <c r="B128" s="2"/>
      <c r="C128" s="1"/>
      <c r="D128" s="1"/>
      <c r="E128" s="7"/>
      <c r="F128" s="24">
        <f t="shared" si="18"/>
        <v>0</v>
      </c>
      <c r="G128" s="7"/>
      <c r="H128" s="10"/>
      <c r="I128" s="2" t="str">
        <f t="shared" si="19"/>
        <v/>
      </c>
      <c r="J128" s="1" t="str">
        <f t="shared" ca="1" si="20"/>
        <v/>
      </c>
      <c r="K128" s="3" t="str">
        <f t="shared" ca="1" si="21"/>
        <v/>
      </c>
      <c r="L128" s="1">
        <f t="shared" si="22"/>
        <v>0</v>
      </c>
      <c r="M128" s="1">
        <f t="shared" si="23"/>
        <v>0</v>
      </c>
    </row>
    <row r="129" spans="1:13" x14ac:dyDescent="0.25">
      <c r="A129" s="1"/>
      <c r="B129" s="2"/>
      <c r="C129" s="1"/>
      <c r="D129" s="1"/>
      <c r="E129" s="7"/>
      <c r="F129" s="24">
        <f t="shared" si="18"/>
        <v>0</v>
      </c>
      <c r="G129" s="7"/>
      <c r="H129" s="10"/>
      <c r="I129" s="2" t="str">
        <f t="shared" si="19"/>
        <v/>
      </c>
      <c r="J129" s="1" t="str">
        <f t="shared" ca="1" si="20"/>
        <v/>
      </c>
      <c r="K129" s="3" t="str">
        <f t="shared" ca="1" si="21"/>
        <v/>
      </c>
      <c r="L129" s="1">
        <f t="shared" si="22"/>
        <v>0</v>
      </c>
      <c r="M129" s="1">
        <f t="shared" si="23"/>
        <v>0</v>
      </c>
    </row>
    <row r="130" spans="1:13" x14ac:dyDescent="0.25">
      <c r="A130" s="1"/>
      <c r="B130" s="2"/>
      <c r="C130" s="1"/>
      <c r="D130" s="1"/>
      <c r="E130" s="7"/>
      <c r="F130" s="24">
        <f t="shared" si="18"/>
        <v>0</v>
      </c>
      <c r="G130" s="7"/>
      <c r="H130" s="10"/>
      <c r="I130" s="2" t="str">
        <f t="shared" si="19"/>
        <v/>
      </c>
      <c r="J130" s="1" t="str">
        <f t="shared" ca="1" si="20"/>
        <v/>
      </c>
      <c r="K130" s="3" t="str">
        <f t="shared" ca="1" si="21"/>
        <v/>
      </c>
      <c r="L130" s="1">
        <f t="shared" si="22"/>
        <v>0</v>
      </c>
      <c r="M130" s="1">
        <f t="shared" si="23"/>
        <v>0</v>
      </c>
    </row>
    <row r="131" spans="1:13" x14ac:dyDescent="0.25">
      <c r="A131" s="1"/>
      <c r="B131" s="2"/>
      <c r="C131" s="1"/>
      <c r="D131" s="1"/>
      <c r="E131" s="7"/>
      <c r="F131" s="24">
        <f t="shared" si="18"/>
        <v>0</v>
      </c>
      <c r="G131" s="7"/>
      <c r="H131" s="10"/>
      <c r="I131" s="2" t="str">
        <f t="shared" si="19"/>
        <v/>
      </c>
      <c r="J131" s="1" t="str">
        <f t="shared" ca="1" si="20"/>
        <v/>
      </c>
      <c r="K131" s="3" t="str">
        <f t="shared" ca="1" si="21"/>
        <v/>
      </c>
      <c r="L131" s="1">
        <f t="shared" si="22"/>
        <v>0</v>
      </c>
      <c r="M131" s="1">
        <f t="shared" si="23"/>
        <v>0</v>
      </c>
    </row>
    <row r="132" spans="1:13" x14ac:dyDescent="0.25">
      <c r="A132" s="1"/>
      <c r="B132" s="2"/>
      <c r="C132" s="1"/>
      <c r="D132" s="1"/>
      <c r="E132" s="7"/>
      <c r="F132" s="24">
        <f t="shared" si="18"/>
        <v>0</v>
      </c>
      <c r="G132" s="7"/>
      <c r="H132" s="10"/>
      <c r="I132" s="2" t="str">
        <f t="shared" si="19"/>
        <v/>
      </c>
      <c r="J132" s="1" t="str">
        <f t="shared" ca="1" si="20"/>
        <v/>
      </c>
      <c r="K132" s="3" t="str">
        <f t="shared" ca="1" si="21"/>
        <v/>
      </c>
      <c r="L132" s="1">
        <f t="shared" si="22"/>
        <v>0</v>
      </c>
      <c r="M132" s="1">
        <f t="shared" si="23"/>
        <v>0</v>
      </c>
    </row>
    <row r="133" spans="1:13" x14ac:dyDescent="0.25">
      <c r="A133" s="1"/>
      <c r="B133" s="2"/>
      <c r="C133" s="1"/>
      <c r="D133" s="1"/>
      <c r="E133" s="7"/>
      <c r="F133" s="24">
        <f t="shared" si="18"/>
        <v>0</v>
      </c>
      <c r="G133" s="7"/>
      <c r="H133" s="10"/>
      <c r="I133" s="2" t="str">
        <f t="shared" si="19"/>
        <v/>
      </c>
      <c r="J133" s="1" t="str">
        <f t="shared" ca="1" si="20"/>
        <v/>
      </c>
      <c r="K133" s="3" t="str">
        <f t="shared" ca="1" si="21"/>
        <v/>
      </c>
      <c r="L133" s="1">
        <f t="shared" si="22"/>
        <v>0</v>
      </c>
      <c r="M133" s="1">
        <f t="shared" si="23"/>
        <v>0</v>
      </c>
    </row>
    <row r="134" spans="1:13" x14ac:dyDescent="0.25">
      <c r="A134" s="1"/>
      <c r="B134" s="2"/>
      <c r="C134" s="1"/>
      <c r="D134" s="1"/>
      <c r="E134" s="7"/>
      <c r="F134" s="24">
        <f t="shared" si="18"/>
        <v>0</v>
      </c>
      <c r="G134" s="7"/>
      <c r="H134" s="10"/>
      <c r="I134" s="2" t="str">
        <f t="shared" si="19"/>
        <v/>
      </c>
      <c r="J134" s="1" t="str">
        <f t="shared" ca="1" si="20"/>
        <v/>
      </c>
      <c r="K134" s="3" t="str">
        <f t="shared" ca="1" si="21"/>
        <v/>
      </c>
      <c r="L134" s="1">
        <f t="shared" si="22"/>
        <v>0</v>
      </c>
      <c r="M134" s="1">
        <f t="shared" si="23"/>
        <v>0</v>
      </c>
    </row>
    <row r="135" spans="1:13" x14ac:dyDescent="0.25">
      <c r="A135" s="1"/>
      <c r="B135" s="2"/>
      <c r="C135" s="1"/>
      <c r="D135" s="1"/>
      <c r="E135" s="7"/>
      <c r="F135" s="24">
        <f t="shared" si="18"/>
        <v>0</v>
      </c>
      <c r="G135" s="7"/>
      <c r="H135" s="10"/>
      <c r="I135" s="2" t="str">
        <f t="shared" si="19"/>
        <v/>
      </c>
      <c r="J135" s="1" t="str">
        <f t="shared" ca="1" si="20"/>
        <v/>
      </c>
      <c r="K135" s="3" t="str">
        <f t="shared" ca="1" si="21"/>
        <v/>
      </c>
      <c r="L135" s="1">
        <f t="shared" si="22"/>
        <v>0</v>
      </c>
      <c r="M135" s="1">
        <f t="shared" si="23"/>
        <v>0</v>
      </c>
    </row>
    <row r="136" spans="1:13" x14ac:dyDescent="0.25">
      <c r="A136" s="1"/>
      <c r="B136" s="2"/>
      <c r="C136" s="1"/>
      <c r="D136" s="1"/>
      <c r="E136" s="7"/>
      <c r="F136" s="24">
        <f t="shared" si="18"/>
        <v>0</v>
      </c>
      <c r="G136" s="7"/>
      <c r="H136" s="10"/>
      <c r="I136" s="2" t="str">
        <f t="shared" si="19"/>
        <v/>
      </c>
      <c r="J136" s="1" t="str">
        <f t="shared" ca="1" si="20"/>
        <v/>
      </c>
      <c r="K136" s="3" t="str">
        <f t="shared" ca="1" si="21"/>
        <v/>
      </c>
      <c r="L136" s="1">
        <f t="shared" si="22"/>
        <v>0</v>
      </c>
      <c r="M136" s="1">
        <f t="shared" si="23"/>
        <v>0</v>
      </c>
    </row>
    <row r="137" spans="1:13" x14ac:dyDescent="0.25">
      <c r="A137" s="1"/>
      <c r="B137" s="2"/>
      <c r="C137" s="1"/>
      <c r="D137" s="1"/>
      <c r="E137" s="7"/>
      <c r="F137" s="24">
        <f t="shared" si="18"/>
        <v>0</v>
      </c>
      <c r="G137" s="7"/>
      <c r="H137" s="10"/>
      <c r="I137" s="2" t="str">
        <f t="shared" si="19"/>
        <v/>
      </c>
      <c r="J137" s="1" t="str">
        <f t="shared" ca="1" si="20"/>
        <v/>
      </c>
      <c r="K137" s="3" t="str">
        <f t="shared" ca="1" si="21"/>
        <v/>
      </c>
      <c r="L137" s="1">
        <f t="shared" si="22"/>
        <v>0</v>
      </c>
      <c r="M137" s="1">
        <f t="shared" si="23"/>
        <v>0</v>
      </c>
    </row>
    <row r="138" spans="1:13" x14ac:dyDescent="0.25">
      <c r="A138" s="1"/>
      <c r="B138" s="2"/>
      <c r="C138" s="1"/>
      <c r="D138" s="1"/>
      <c r="E138" s="7"/>
      <c r="F138" s="24">
        <f t="shared" si="18"/>
        <v>0</v>
      </c>
      <c r="G138" s="7"/>
      <c r="H138" s="10"/>
      <c r="I138" s="2" t="str">
        <f t="shared" si="19"/>
        <v/>
      </c>
      <c r="J138" s="1" t="str">
        <f t="shared" ca="1" si="20"/>
        <v/>
      </c>
      <c r="K138" s="3" t="str">
        <f t="shared" ca="1" si="21"/>
        <v/>
      </c>
      <c r="L138" s="1">
        <f t="shared" si="22"/>
        <v>0</v>
      </c>
      <c r="M138" s="1">
        <f t="shared" si="23"/>
        <v>0</v>
      </c>
    </row>
    <row r="139" spans="1:13" x14ac:dyDescent="0.25">
      <c r="A139" s="1"/>
      <c r="B139" s="2"/>
      <c r="C139" s="1"/>
      <c r="D139" s="1"/>
      <c r="E139" s="7"/>
      <c r="F139" s="24">
        <f t="shared" si="18"/>
        <v>0</v>
      </c>
      <c r="G139" s="7"/>
      <c r="H139" s="10"/>
      <c r="I139" s="2" t="str">
        <f t="shared" si="19"/>
        <v/>
      </c>
      <c r="J139" s="1" t="str">
        <f t="shared" ca="1" si="20"/>
        <v/>
      </c>
      <c r="K139" s="3" t="str">
        <f t="shared" ca="1" si="21"/>
        <v/>
      </c>
      <c r="L139" s="1">
        <f t="shared" si="22"/>
        <v>0</v>
      </c>
      <c r="M139" s="1">
        <f t="shared" si="23"/>
        <v>0</v>
      </c>
    </row>
    <row r="140" spans="1:13" x14ac:dyDescent="0.25">
      <c r="A140" s="1"/>
      <c r="B140" s="2"/>
      <c r="C140" s="1"/>
      <c r="D140" s="1"/>
      <c r="E140" s="7"/>
      <c r="F140" s="24">
        <f t="shared" si="18"/>
        <v>0</v>
      </c>
      <c r="G140" s="7"/>
      <c r="H140" s="10"/>
      <c r="I140" s="2" t="str">
        <f t="shared" si="19"/>
        <v/>
      </c>
      <c r="J140" s="1" t="str">
        <f t="shared" ca="1" si="20"/>
        <v/>
      </c>
      <c r="K140" s="3" t="str">
        <f t="shared" ca="1" si="21"/>
        <v/>
      </c>
      <c r="L140" s="1">
        <f t="shared" si="22"/>
        <v>0</v>
      </c>
      <c r="M140" s="1">
        <f t="shared" si="23"/>
        <v>0</v>
      </c>
    </row>
    <row r="141" spans="1:13" x14ac:dyDescent="0.25">
      <c r="A141" s="1"/>
      <c r="B141" s="2"/>
      <c r="C141" s="1"/>
      <c r="D141" s="1"/>
      <c r="E141" s="7"/>
      <c r="F141" s="24">
        <f t="shared" si="18"/>
        <v>0</v>
      </c>
      <c r="G141" s="7"/>
      <c r="H141" s="10"/>
      <c r="I141" s="2" t="str">
        <f t="shared" si="19"/>
        <v/>
      </c>
      <c r="J141" s="1" t="str">
        <f t="shared" ca="1" si="20"/>
        <v/>
      </c>
      <c r="K141" s="3" t="str">
        <f t="shared" ca="1" si="21"/>
        <v/>
      </c>
      <c r="L141" s="1">
        <f t="shared" si="22"/>
        <v>0</v>
      </c>
      <c r="M141" s="1">
        <f t="shared" si="23"/>
        <v>0</v>
      </c>
    </row>
    <row r="142" spans="1:13" x14ac:dyDescent="0.25">
      <c r="A142" s="1"/>
      <c r="B142" s="2"/>
      <c r="C142" s="1"/>
      <c r="D142" s="1"/>
      <c r="E142" s="7"/>
      <c r="F142" s="24">
        <f t="shared" si="18"/>
        <v>0</v>
      </c>
      <c r="G142" s="7"/>
      <c r="H142" s="10"/>
      <c r="I142" s="2" t="str">
        <f t="shared" si="19"/>
        <v/>
      </c>
      <c r="J142" s="1" t="str">
        <f t="shared" ca="1" si="20"/>
        <v/>
      </c>
      <c r="K142" s="3" t="str">
        <f t="shared" ca="1" si="21"/>
        <v/>
      </c>
      <c r="L142" s="1">
        <f t="shared" si="22"/>
        <v>0</v>
      </c>
      <c r="M142" s="1">
        <f t="shared" si="23"/>
        <v>0</v>
      </c>
    </row>
    <row r="143" spans="1:13" x14ac:dyDescent="0.25">
      <c r="A143" s="1"/>
      <c r="B143" s="2"/>
      <c r="C143" s="1"/>
      <c r="D143" s="1"/>
      <c r="E143" s="7"/>
      <c r="F143" s="24">
        <f t="shared" si="18"/>
        <v>0</v>
      </c>
      <c r="G143" s="7"/>
      <c r="H143" s="10"/>
      <c r="I143" s="2" t="str">
        <f t="shared" si="19"/>
        <v/>
      </c>
      <c r="J143" s="1" t="str">
        <f t="shared" ca="1" si="20"/>
        <v/>
      </c>
      <c r="K143" s="3" t="str">
        <f t="shared" ca="1" si="21"/>
        <v/>
      </c>
      <c r="L143" s="1">
        <f t="shared" si="22"/>
        <v>0</v>
      </c>
      <c r="M143" s="1">
        <f t="shared" si="23"/>
        <v>0</v>
      </c>
    </row>
    <row r="144" spans="1:13" x14ac:dyDescent="0.25">
      <c r="A144" s="1"/>
      <c r="B144" s="2"/>
      <c r="C144" s="1"/>
      <c r="D144" s="1"/>
      <c r="E144" s="7"/>
      <c r="F144" s="24">
        <f t="shared" si="18"/>
        <v>0</v>
      </c>
      <c r="G144" s="7"/>
      <c r="H144" s="10"/>
      <c r="I144" s="2" t="str">
        <f t="shared" si="19"/>
        <v/>
      </c>
      <c r="J144" s="1" t="str">
        <f t="shared" ca="1" si="20"/>
        <v/>
      </c>
      <c r="K144" s="3" t="str">
        <f t="shared" ca="1" si="21"/>
        <v/>
      </c>
      <c r="L144" s="1">
        <f t="shared" si="22"/>
        <v>0</v>
      </c>
      <c r="M144" s="1">
        <f t="shared" si="23"/>
        <v>0</v>
      </c>
    </row>
    <row r="145" spans="1:13" x14ac:dyDescent="0.25">
      <c r="A145" s="1"/>
      <c r="B145" s="2"/>
      <c r="C145" s="1"/>
      <c r="D145" s="1"/>
      <c r="E145" s="7"/>
      <c r="F145" s="24">
        <f t="shared" si="18"/>
        <v>0</v>
      </c>
      <c r="G145" s="7"/>
      <c r="H145" s="10"/>
      <c r="I145" s="2" t="str">
        <f t="shared" si="19"/>
        <v/>
      </c>
      <c r="J145" s="1" t="str">
        <f t="shared" ca="1" si="20"/>
        <v/>
      </c>
      <c r="K145" s="3" t="str">
        <f t="shared" ca="1" si="21"/>
        <v/>
      </c>
      <c r="L145" s="1">
        <f t="shared" si="22"/>
        <v>0</v>
      </c>
      <c r="M145" s="1">
        <f t="shared" si="23"/>
        <v>0</v>
      </c>
    </row>
    <row r="146" spans="1:13" x14ac:dyDescent="0.25">
      <c r="A146" s="1"/>
      <c r="B146" s="2"/>
      <c r="C146" s="1"/>
      <c r="D146" s="1"/>
      <c r="E146" s="7"/>
      <c r="F146" s="24">
        <f t="shared" si="18"/>
        <v>0</v>
      </c>
      <c r="G146" s="7"/>
      <c r="H146" s="10"/>
      <c r="I146" s="2" t="str">
        <f t="shared" si="19"/>
        <v/>
      </c>
      <c r="J146" s="1" t="str">
        <f t="shared" ca="1" si="20"/>
        <v/>
      </c>
      <c r="K146" s="3" t="str">
        <f t="shared" ca="1" si="21"/>
        <v/>
      </c>
      <c r="L146" s="1">
        <f t="shared" si="22"/>
        <v>0</v>
      </c>
      <c r="M146" s="1">
        <f t="shared" si="23"/>
        <v>0</v>
      </c>
    </row>
    <row r="147" spans="1:13" x14ac:dyDescent="0.25">
      <c r="A147" s="1"/>
      <c r="B147" s="2"/>
      <c r="C147" s="1"/>
      <c r="D147" s="1"/>
      <c r="E147" s="7"/>
      <c r="F147" s="24">
        <f t="shared" si="18"/>
        <v>0</v>
      </c>
      <c r="G147" s="7"/>
      <c r="H147" s="10"/>
      <c r="I147" s="2" t="str">
        <f t="shared" si="19"/>
        <v/>
      </c>
      <c r="J147" s="1" t="str">
        <f t="shared" ca="1" si="20"/>
        <v/>
      </c>
      <c r="K147" s="3" t="str">
        <f t="shared" ca="1" si="21"/>
        <v/>
      </c>
      <c r="L147" s="1">
        <f t="shared" si="22"/>
        <v>0</v>
      </c>
      <c r="M147" s="1">
        <f t="shared" si="23"/>
        <v>0</v>
      </c>
    </row>
    <row r="148" spans="1:13" x14ac:dyDescent="0.25">
      <c r="A148" s="1"/>
      <c r="B148" s="2"/>
      <c r="C148" s="1"/>
      <c r="D148" s="1"/>
      <c r="E148" s="7"/>
      <c r="F148" s="24">
        <f t="shared" si="18"/>
        <v>0</v>
      </c>
      <c r="G148" s="7"/>
      <c r="H148" s="10"/>
      <c r="I148" s="2" t="str">
        <f t="shared" si="19"/>
        <v/>
      </c>
      <c r="J148" s="1" t="str">
        <f t="shared" ca="1" si="20"/>
        <v/>
      </c>
      <c r="K148" s="3" t="str">
        <f t="shared" ca="1" si="21"/>
        <v/>
      </c>
      <c r="L148" s="1">
        <f t="shared" si="22"/>
        <v>0</v>
      </c>
      <c r="M148" s="1">
        <f t="shared" si="23"/>
        <v>0</v>
      </c>
    </row>
    <row r="149" spans="1:13" x14ac:dyDescent="0.25">
      <c r="A149" s="1"/>
      <c r="B149" s="2"/>
      <c r="C149" s="1"/>
      <c r="D149" s="1"/>
      <c r="E149" s="7"/>
      <c r="F149" s="24">
        <f t="shared" si="18"/>
        <v>0</v>
      </c>
      <c r="G149" s="7"/>
      <c r="H149" s="10"/>
      <c r="I149" s="2" t="str">
        <f t="shared" si="19"/>
        <v/>
      </c>
      <c r="J149" s="1" t="str">
        <f t="shared" ca="1" si="20"/>
        <v/>
      </c>
      <c r="K149" s="3" t="str">
        <f t="shared" ca="1" si="21"/>
        <v/>
      </c>
      <c r="L149" s="1">
        <f t="shared" si="22"/>
        <v>0</v>
      </c>
      <c r="M149" s="1">
        <f t="shared" si="23"/>
        <v>0</v>
      </c>
    </row>
    <row r="150" spans="1:13" x14ac:dyDescent="0.25">
      <c r="A150" s="1"/>
      <c r="B150" s="2"/>
      <c r="C150" s="1"/>
      <c r="D150" s="1"/>
      <c r="E150" s="7"/>
      <c r="F150" s="24">
        <f t="shared" si="18"/>
        <v>0</v>
      </c>
      <c r="G150" s="7"/>
      <c r="H150" s="10"/>
      <c r="I150" s="2" t="str">
        <f t="shared" si="19"/>
        <v/>
      </c>
      <c r="J150" s="1" t="str">
        <f t="shared" ca="1" si="20"/>
        <v/>
      </c>
      <c r="K150" s="3" t="str">
        <f t="shared" ca="1" si="21"/>
        <v/>
      </c>
      <c r="L150" s="1">
        <f t="shared" si="22"/>
        <v>0</v>
      </c>
      <c r="M150" s="1">
        <f t="shared" si="23"/>
        <v>0</v>
      </c>
    </row>
    <row r="151" spans="1:13" x14ac:dyDescent="0.25">
      <c r="A151" s="1"/>
      <c r="B151" s="2"/>
      <c r="C151" s="1"/>
      <c r="D151" s="1"/>
      <c r="E151" s="7"/>
      <c r="F151" s="24">
        <f t="shared" si="18"/>
        <v>0</v>
      </c>
      <c r="G151" s="7"/>
      <c r="H151" s="10"/>
      <c r="I151" s="2" t="str">
        <f t="shared" si="19"/>
        <v/>
      </c>
      <c r="J151" s="1" t="str">
        <f t="shared" ca="1" si="20"/>
        <v/>
      </c>
      <c r="K151" s="3" t="str">
        <f t="shared" ca="1" si="21"/>
        <v/>
      </c>
      <c r="L151" s="1">
        <f t="shared" si="22"/>
        <v>0</v>
      </c>
      <c r="M151" s="1">
        <f t="shared" si="23"/>
        <v>0</v>
      </c>
    </row>
    <row r="152" spans="1:13" x14ac:dyDescent="0.25">
      <c r="A152" s="1"/>
      <c r="B152" s="2"/>
      <c r="C152" s="1"/>
      <c r="D152" s="1"/>
      <c r="E152" s="7"/>
      <c r="F152" s="24">
        <f t="shared" si="18"/>
        <v>0</v>
      </c>
      <c r="G152" s="7"/>
      <c r="H152" s="10"/>
      <c r="I152" s="2" t="str">
        <f t="shared" si="19"/>
        <v/>
      </c>
      <c r="J152" s="1" t="str">
        <f t="shared" ca="1" si="20"/>
        <v/>
      </c>
      <c r="K152" s="3" t="str">
        <f t="shared" ca="1" si="21"/>
        <v/>
      </c>
      <c r="L152" s="1">
        <f t="shared" si="22"/>
        <v>0</v>
      </c>
      <c r="M152" s="1">
        <f t="shared" si="23"/>
        <v>0</v>
      </c>
    </row>
    <row r="153" spans="1:13" x14ac:dyDescent="0.25">
      <c r="A153" s="1"/>
      <c r="B153" s="2"/>
      <c r="C153" s="1"/>
      <c r="D153" s="1"/>
      <c r="E153" s="7"/>
      <c r="F153" s="24">
        <f t="shared" si="18"/>
        <v>0</v>
      </c>
      <c r="G153" s="7"/>
      <c r="H153" s="10"/>
      <c r="I153" s="2" t="str">
        <f t="shared" si="19"/>
        <v/>
      </c>
      <c r="J153" s="1" t="str">
        <f t="shared" ca="1" si="20"/>
        <v/>
      </c>
      <c r="K153" s="3" t="str">
        <f t="shared" ca="1" si="21"/>
        <v/>
      </c>
      <c r="L153" s="1">
        <f t="shared" si="22"/>
        <v>0</v>
      </c>
      <c r="M153" s="1">
        <f t="shared" si="23"/>
        <v>0</v>
      </c>
    </row>
    <row r="154" spans="1:13" x14ac:dyDescent="0.25">
      <c r="A154" s="1"/>
      <c r="B154" s="2"/>
      <c r="C154" s="1"/>
      <c r="D154" s="1"/>
      <c r="E154" s="7"/>
      <c r="F154" s="24">
        <f t="shared" si="18"/>
        <v>0</v>
      </c>
      <c r="G154" s="7"/>
      <c r="H154" s="10"/>
      <c r="I154" s="2" t="str">
        <f t="shared" si="19"/>
        <v/>
      </c>
      <c r="J154" s="1" t="str">
        <f t="shared" ca="1" si="20"/>
        <v/>
      </c>
      <c r="K154" s="3" t="str">
        <f t="shared" ca="1" si="21"/>
        <v/>
      </c>
      <c r="L154" s="1">
        <f t="shared" si="22"/>
        <v>0</v>
      </c>
      <c r="M154" s="1">
        <f t="shared" si="23"/>
        <v>0</v>
      </c>
    </row>
    <row r="155" spans="1:13" x14ac:dyDescent="0.25">
      <c r="A155" s="1"/>
      <c r="B155" s="2"/>
      <c r="C155" s="1"/>
      <c r="D155" s="1"/>
      <c r="E155" s="7"/>
      <c r="F155" s="24">
        <f t="shared" si="18"/>
        <v>0</v>
      </c>
      <c r="G155" s="7"/>
      <c r="H155" s="10"/>
      <c r="I155" s="2" t="str">
        <f t="shared" si="19"/>
        <v/>
      </c>
      <c r="J155" s="1" t="str">
        <f t="shared" ca="1" si="20"/>
        <v/>
      </c>
      <c r="K155" s="3" t="str">
        <f t="shared" ca="1" si="21"/>
        <v/>
      </c>
      <c r="L155" s="1">
        <f t="shared" si="22"/>
        <v>0</v>
      </c>
      <c r="M155" s="1">
        <f t="shared" si="23"/>
        <v>0</v>
      </c>
    </row>
    <row r="156" spans="1:13" x14ac:dyDescent="0.25">
      <c r="A156" s="1"/>
      <c r="B156" s="2"/>
      <c r="C156" s="1"/>
      <c r="D156" s="1"/>
      <c r="E156" s="7"/>
      <c r="F156" s="24">
        <f t="shared" si="18"/>
        <v>0</v>
      </c>
      <c r="G156" s="7"/>
      <c r="H156" s="10"/>
      <c r="I156" s="2" t="str">
        <f t="shared" si="19"/>
        <v/>
      </c>
      <c r="J156" s="1" t="str">
        <f t="shared" ca="1" si="20"/>
        <v/>
      </c>
      <c r="K156" s="3" t="str">
        <f t="shared" ca="1" si="21"/>
        <v/>
      </c>
      <c r="L156" s="1">
        <f t="shared" si="22"/>
        <v>0</v>
      </c>
      <c r="M156" s="1">
        <f t="shared" si="23"/>
        <v>0</v>
      </c>
    </row>
    <row r="157" spans="1:13" x14ac:dyDescent="0.25">
      <c r="A157" s="1"/>
      <c r="B157" s="2"/>
      <c r="C157" s="1"/>
      <c r="D157" s="1"/>
      <c r="E157" s="7"/>
      <c r="F157" s="24">
        <f t="shared" si="18"/>
        <v>0</v>
      </c>
      <c r="G157" s="7"/>
      <c r="H157" s="10"/>
      <c r="I157" s="2" t="str">
        <f t="shared" si="19"/>
        <v/>
      </c>
      <c r="J157" s="1" t="str">
        <f t="shared" ca="1" si="20"/>
        <v/>
      </c>
      <c r="K157" s="3" t="str">
        <f t="shared" ca="1" si="21"/>
        <v/>
      </c>
      <c r="L157" s="1">
        <f t="shared" si="22"/>
        <v>0</v>
      </c>
      <c r="M157" s="1">
        <f t="shared" si="23"/>
        <v>0</v>
      </c>
    </row>
    <row r="158" spans="1:13" x14ac:dyDescent="0.25">
      <c r="A158" s="1"/>
      <c r="B158" s="2"/>
      <c r="C158" s="1"/>
      <c r="D158" s="1"/>
      <c r="E158" s="7"/>
      <c r="F158" s="24">
        <f t="shared" si="18"/>
        <v>0</v>
      </c>
      <c r="G158" s="7"/>
      <c r="H158" s="10"/>
      <c r="I158" s="2" t="str">
        <f t="shared" si="19"/>
        <v/>
      </c>
      <c r="J158" s="1" t="str">
        <f t="shared" ca="1" si="20"/>
        <v/>
      </c>
      <c r="K158" s="3" t="str">
        <f t="shared" ca="1" si="21"/>
        <v/>
      </c>
      <c r="L158" s="1">
        <f t="shared" si="22"/>
        <v>0</v>
      </c>
      <c r="M158" s="1">
        <f t="shared" si="23"/>
        <v>0</v>
      </c>
    </row>
    <row r="159" spans="1:13" x14ac:dyDescent="0.25">
      <c r="A159" s="1"/>
      <c r="B159" s="2"/>
      <c r="C159" s="1"/>
      <c r="D159" s="1"/>
      <c r="E159" s="7"/>
      <c r="F159" s="24">
        <f t="shared" si="18"/>
        <v>0</v>
      </c>
      <c r="G159" s="7"/>
      <c r="H159" s="10"/>
      <c r="I159" s="2" t="str">
        <f t="shared" si="19"/>
        <v/>
      </c>
      <c r="J159" s="1" t="str">
        <f t="shared" ca="1" si="20"/>
        <v/>
      </c>
      <c r="K159" s="3" t="str">
        <f t="shared" ca="1" si="21"/>
        <v/>
      </c>
      <c r="L159" s="1">
        <f t="shared" si="22"/>
        <v>0</v>
      </c>
      <c r="M159" s="1">
        <f t="shared" si="23"/>
        <v>0</v>
      </c>
    </row>
    <row r="160" spans="1:13" x14ac:dyDescent="0.25">
      <c r="A160" s="1"/>
      <c r="B160" s="2"/>
      <c r="C160" s="1"/>
      <c r="D160" s="1"/>
      <c r="E160" s="7"/>
      <c r="F160" s="24">
        <f t="shared" si="18"/>
        <v>0</v>
      </c>
      <c r="G160" s="7"/>
      <c r="H160" s="10"/>
      <c r="I160" s="2" t="str">
        <f t="shared" si="19"/>
        <v/>
      </c>
      <c r="J160" s="1" t="str">
        <f t="shared" ca="1" si="20"/>
        <v/>
      </c>
      <c r="K160" s="3" t="str">
        <f t="shared" ca="1" si="21"/>
        <v/>
      </c>
      <c r="L160" s="1">
        <f t="shared" si="22"/>
        <v>0</v>
      </c>
      <c r="M160" s="1">
        <f t="shared" si="23"/>
        <v>0</v>
      </c>
    </row>
    <row r="161" spans="1:13" x14ac:dyDescent="0.25">
      <c r="A161" s="1"/>
      <c r="B161" s="2"/>
      <c r="C161" s="1"/>
      <c r="D161" s="1"/>
      <c r="E161" s="7"/>
      <c r="F161" s="24">
        <f t="shared" si="18"/>
        <v>0</v>
      </c>
      <c r="G161" s="7"/>
      <c r="H161" s="10"/>
      <c r="I161" s="2" t="str">
        <f t="shared" si="19"/>
        <v/>
      </c>
      <c r="J161" s="1" t="str">
        <f t="shared" ca="1" si="20"/>
        <v/>
      </c>
      <c r="K161" s="3" t="str">
        <f t="shared" ca="1" si="21"/>
        <v/>
      </c>
      <c r="L161" s="1">
        <f t="shared" si="22"/>
        <v>0</v>
      </c>
      <c r="M161" s="1">
        <f t="shared" si="23"/>
        <v>0</v>
      </c>
    </row>
    <row r="162" spans="1:13" x14ac:dyDescent="0.25">
      <c r="A162" s="1"/>
      <c r="B162" s="2"/>
      <c r="C162" s="1"/>
      <c r="D162" s="1"/>
      <c r="E162" s="7"/>
      <c r="F162" s="24">
        <f t="shared" si="18"/>
        <v>0</v>
      </c>
      <c r="G162" s="7"/>
      <c r="H162" s="10"/>
      <c r="I162" s="2" t="str">
        <f t="shared" si="19"/>
        <v/>
      </c>
      <c r="J162" s="1" t="str">
        <f t="shared" ca="1" si="20"/>
        <v/>
      </c>
      <c r="K162" s="3" t="str">
        <f t="shared" ca="1" si="21"/>
        <v/>
      </c>
      <c r="L162" s="1">
        <f t="shared" si="22"/>
        <v>0</v>
      </c>
      <c r="M162" s="1">
        <f t="shared" si="23"/>
        <v>0</v>
      </c>
    </row>
    <row r="163" spans="1:13" x14ac:dyDescent="0.25">
      <c r="A163" s="1"/>
      <c r="B163" s="2"/>
      <c r="C163" s="1"/>
      <c r="D163" s="1"/>
      <c r="E163" s="7"/>
      <c r="F163" s="24">
        <f t="shared" si="18"/>
        <v>0</v>
      </c>
      <c r="G163" s="7"/>
      <c r="H163" s="10"/>
      <c r="I163" s="2" t="str">
        <f t="shared" si="19"/>
        <v/>
      </c>
      <c r="J163" s="1" t="str">
        <f t="shared" ca="1" si="20"/>
        <v/>
      </c>
      <c r="K163" s="3" t="str">
        <f t="shared" ca="1" si="21"/>
        <v/>
      </c>
      <c r="L163" s="1">
        <f t="shared" si="22"/>
        <v>0</v>
      </c>
      <c r="M163" s="1">
        <f t="shared" si="23"/>
        <v>0</v>
      </c>
    </row>
    <row r="164" spans="1:13" x14ac:dyDescent="0.25">
      <c r="A164" s="1"/>
      <c r="B164" s="2"/>
      <c r="C164" s="1"/>
      <c r="D164" s="1"/>
      <c r="E164" s="7"/>
      <c r="F164" s="24">
        <f t="shared" si="18"/>
        <v>0</v>
      </c>
      <c r="G164" s="7"/>
      <c r="H164" s="10"/>
      <c r="I164" s="2" t="str">
        <f t="shared" si="19"/>
        <v/>
      </c>
      <c r="J164" s="1" t="str">
        <f t="shared" ca="1" si="20"/>
        <v/>
      </c>
      <c r="K164" s="3" t="str">
        <f t="shared" ca="1" si="21"/>
        <v/>
      </c>
      <c r="L164" s="1">
        <f t="shared" si="22"/>
        <v>0</v>
      </c>
      <c r="M164" s="1">
        <f t="shared" si="23"/>
        <v>0</v>
      </c>
    </row>
    <row r="165" spans="1:13" x14ac:dyDescent="0.25">
      <c r="A165" s="1"/>
      <c r="B165" s="2"/>
      <c r="C165" s="1"/>
      <c r="D165" s="1"/>
      <c r="E165" s="7"/>
      <c r="F165" s="24">
        <f t="shared" si="18"/>
        <v>0</v>
      </c>
      <c r="G165" s="7"/>
      <c r="H165" s="10"/>
      <c r="I165" s="2" t="str">
        <f t="shared" si="19"/>
        <v/>
      </c>
      <c r="J165" s="1" t="str">
        <f t="shared" ca="1" si="20"/>
        <v/>
      </c>
      <c r="K165" s="3" t="str">
        <f t="shared" ca="1" si="21"/>
        <v/>
      </c>
      <c r="L165" s="1">
        <f t="shared" si="22"/>
        <v>0</v>
      </c>
      <c r="M165" s="1">
        <f t="shared" si="23"/>
        <v>0</v>
      </c>
    </row>
    <row r="166" spans="1:13" x14ac:dyDescent="0.25">
      <c r="A166" s="1"/>
      <c r="B166" s="2"/>
      <c r="C166" s="1"/>
      <c r="D166" s="1"/>
      <c r="E166" s="7"/>
      <c r="F166" s="24">
        <f t="shared" si="18"/>
        <v>0</v>
      </c>
      <c r="G166" s="7"/>
      <c r="H166" s="10"/>
      <c r="I166" s="2" t="str">
        <f t="shared" si="19"/>
        <v/>
      </c>
      <c r="J166" s="1" t="str">
        <f t="shared" ca="1" si="20"/>
        <v/>
      </c>
      <c r="K166" s="3" t="str">
        <f t="shared" ca="1" si="21"/>
        <v/>
      </c>
      <c r="L166" s="1">
        <f t="shared" si="22"/>
        <v>0</v>
      </c>
      <c r="M166" s="1">
        <f t="shared" si="23"/>
        <v>0</v>
      </c>
    </row>
    <row r="167" spans="1:13" x14ac:dyDescent="0.25">
      <c r="A167" s="1"/>
      <c r="B167" s="2"/>
      <c r="C167" s="1"/>
      <c r="D167" s="1"/>
      <c r="E167" s="7"/>
      <c r="F167" s="24">
        <f t="shared" si="18"/>
        <v>0</v>
      </c>
      <c r="G167" s="7"/>
      <c r="H167" s="10"/>
      <c r="I167" s="2" t="str">
        <f t="shared" si="19"/>
        <v/>
      </c>
      <c r="J167" s="1" t="str">
        <f t="shared" ca="1" si="20"/>
        <v/>
      </c>
      <c r="K167" s="3" t="str">
        <f t="shared" ca="1" si="21"/>
        <v/>
      </c>
      <c r="L167" s="1">
        <f t="shared" si="22"/>
        <v>0</v>
      </c>
      <c r="M167" s="1">
        <f t="shared" si="23"/>
        <v>0</v>
      </c>
    </row>
    <row r="168" spans="1:13" x14ac:dyDescent="0.25">
      <c r="A168" s="1"/>
      <c r="B168" s="2"/>
      <c r="C168" s="1"/>
      <c r="D168" s="1"/>
      <c r="E168" s="7"/>
      <c r="F168" s="24">
        <f t="shared" si="18"/>
        <v>0</v>
      </c>
      <c r="G168" s="7"/>
      <c r="H168" s="10"/>
      <c r="I168" s="2" t="str">
        <f t="shared" si="19"/>
        <v/>
      </c>
      <c r="J168" s="1" t="str">
        <f t="shared" ca="1" si="20"/>
        <v/>
      </c>
      <c r="K168" s="3" t="str">
        <f t="shared" ca="1" si="21"/>
        <v/>
      </c>
      <c r="L168" s="1">
        <f t="shared" si="22"/>
        <v>0</v>
      </c>
      <c r="M168" s="1">
        <f t="shared" si="23"/>
        <v>0</v>
      </c>
    </row>
    <row r="169" spans="1:13" x14ac:dyDescent="0.25">
      <c r="A169" s="1"/>
      <c r="B169" s="2"/>
      <c r="C169" s="1"/>
      <c r="D169" s="1"/>
      <c r="E169" s="7"/>
      <c r="F169" s="24">
        <f t="shared" si="18"/>
        <v>0</v>
      </c>
      <c r="G169" s="7"/>
      <c r="H169" s="10"/>
      <c r="I169" s="2" t="str">
        <f t="shared" si="19"/>
        <v/>
      </c>
      <c r="J169" s="1" t="str">
        <f t="shared" ca="1" si="20"/>
        <v/>
      </c>
      <c r="K169" s="3" t="str">
        <f t="shared" ca="1" si="21"/>
        <v/>
      </c>
      <c r="L169" s="1">
        <f t="shared" si="22"/>
        <v>0</v>
      </c>
      <c r="M169" s="1">
        <f t="shared" si="23"/>
        <v>0</v>
      </c>
    </row>
    <row r="170" spans="1:13" x14ac:dyDescent="0.25">
      <c r="A170" s="1"/>
      <c r="B170" s="2"/>
      <c r="C170" s="1"/>
      <c r="D170" s="1"/>
      <c r="E170" s="7"/>
      <c r="F170" s="24">
        <f t="shared" si="18"/>
        <v>0</v>
      </c>
      <c r="G170" s="7"/>
      <c r="H170" s="10"/>
      <c r="I170" s="2" t="str">
        <f t="shared" si="19"/>
        <v/>
      </c>
      <c r="J170" s="1" t="str">
        <f t="shared" ca="1" si="20"/>
        <v/>
      </c>
      <c r="K170" s="3" t="str">
        <f t="shared" ca="1" si="21"/>
        <v/>
      </c>
      <c r="L170" s="1">
        <f t="shared" si="22"/>
        <v>0</v>
      </c>
      <c r="M170" s="1">
        <f t="shared" si="23"/>
        <v>0</v>
      </c>
    </row>
    <row r="171" spans="1:13" x14ac:dyDescent="0.25">
      <c r="A171" s="1"/>
      <c r="B171" s="2"/>
      <c r="C171" s="1"/>
      <c r="D171" s="1"/>
      <c r="E171" s="7"/>
      <c r="F171" s="24">
        <f t="shared" si="18"/>
        <v>0</v>
      </c>
      <c r="G171" s="7"/>
      <c r="H171" s="10"/>
      <c r="I171" s="2" t="str">
        <f t="shared" si="19"/>
        <v/>
      </c>
      <c r="J171" s="1" t="str">
        <f t="shared" ca="1" si="20"/>
        <v/>
      </c>
      <c r="K171" s="3" t="str">
        <f t="shared" ca="1" si="21"/>
        <v/>
      </c>
      <c r="L171" s="1">
        <f t="shared" si="22"/>
        <v>0</v>
      </c>
      <c r="M171" s="1">
        <f t="shared" si="23"/>
        <v>0</v>
      </c>
    </row>
    <row r="172" spans="1:13" x14ac:dyDescent="0.25">
      <c r="A172" s="1"/>
      <c r="B172" s="2"/>
      <c r="C172" s="1"/>
      <c r="D172" s="1"/>
      <c r="E172" s="7"/>
      <c r="F172" s="24">
        <f t="shared" si="18"/>
        <v>0</v>
      </c>
      <c r="G172" s="7"/>
      <c r="H172" s="10"/>
      <c r="I172" s="2" t="str">
        <f t="shared" si="19"/>
        <v/>
      </c>
      <c r="J172" s="1" t="str">
        <f t="shared" ca="1" si="20"/>
        <v/>
      </c>
      <c r="K172" s="3" t="str">
        <f t="shared" ca="1" si="21"/>
        <v/>
      </c>
      <c r="L172" s="1">
        <f t="shared" si="22"/>
        <v>0</v>
      </c>
      <c r="M172" s="1">
        <f t="shared" si="23"/>
        <v>0</v>
      </c>
    </row>
    <row r="173" spans="1:13" x14ac:dyDescent="0.25">
      <c r="A173" s="1"/>
      <c r="B173" s="2"/>
      <c r="C173" s="1"/>
      <c r="D173" s="1"/>
      <c r="E173" s="7"/>
      <c r="F173" s="24">
        <f t="shared" si="18"/>
        <v>0</v>
      </c>
      <c r="G173" s="7"/>
      <c r="H173" s="10"/>
      <c r="I173" s="2" t="str">
        <f t="shared" si="19"/>
        <v/>
      </c>
      <c r="J173" s="1" t="str">
        <f t="shared" ca="1" si="20"/>
        <v/>
      </c>
      <c r="K173" s="3" t="str">
        <f t="shared" ca="1" si="21"/>
        <v/>
      </c>
      <c r="L173" s="1">
        <f t="shared" si="22"/>
        <v>0</v>
      </c>
      <c r="M173" s="1">
        <f t="shared" si="23"/>
        <v>0</v>
      </c>
    </row>
    <row r="174" spans="1:13" x14ac:dyDescent="0.25">
      <c r="A174" s="1"/>
      <c r="B174" s="2"/>
      <c r="C174" s="1"/>
      <c r="D174" s="1"/>
      <c r="E174" s="7"/>
      <c r="F174" s="24">
        <f t="shared" si="18"/>
        <v>0</v>
      </c>
      <c r="G174" s="7"/>
      <c r="H174" s="10"/>
      <c r="I174" s="2" t="str">
        <f t="shared" si="19"/>
        <v/>
      </c>
      <c r="J174" s="1" t="str">
        <f t="shared" ca="1" si="20"/>
        <v/>
      </c>
      <c r="K174" s="3" t="str">
        <f t="shared" ca="1" si="21"/>
        <v/>
      </c>
      <c r="L174" s="1">
        <f t="shared" si="22"/>
        <v>0</v>
      </c>
      <c r="M174" s="1">
        <f t="shared" si="23"/>
        <v>0</v>
      </c>
    </row>
    <row r="175" spans="1:13" x14ac:dyDescent="0.25">
      <c r="A175" s="1"/>
      <c r="B175" s="2"/>
      <c r="C175" s="1"/>
      <c r="D175" s="1"/>
      <c r="E175" s="7"/>
      <c r="F175" s="24">
        <f t="shared" si="18"/>
        <v>0</v>
      </c>
      <c r="G175" s="7"/>
      <c r="H175" s="10"/>
      <c r="I175" s="2" t="str">
        <f t="shared" si="19"/>
        <v/>
      </c>
      <c r="J175" s="1" t="str">
        <f t="shared" ca="1" si="20"/>
        <v/>
      </c>
      <c r="K175" s="3" t="str">
        <f t="shared" ca="1" si="21"/>
        <v/>
      </c>
      <c r="L175" s="1">
        <f t="shared" si="22"/>
        <v>0</v>
      </c>
      <c r="M175" s="1">
        <f t="shared" si="23"/>
        <v>0</v>
      </c>
    </row>
    <row r="176" spans="1:13" x14ac:dyDescent="0.25">
      <c r="A176" s="1"/>
      <c r="B176" s="2"/>
      <c r="C176" s="1"/>
      <c r="D176" s="1"/>
      <c r="E176" s="7"/>
      <c r="F176" s="24">
        <f t="shared" si="18"/>
        <v>0</v>
      </c>
      <c r="G176" s="7"/>
      <c r="H176" s="10"/>
      <c r="I176" s="2" t="str">
        <f t="shared" si="19"/>
        <v/>
      </c>
      <c r="J176" s="1" t="str">
        <f t="shared" ca="1" si="20"/>
        <v/>
      </c>
      <c r="K176" s="3" t="str">
        <f t="shared" ca="1" si="21"/>
        <v/>
      </c>
      <c r="L176" s="1">
        <f t="shared" si="22"/>
        <v>0</v>
      </c>
      <c r="M176" s="1">
        <f t="shared" si="23"/>
        <v>0</v>
      </c>
    </row>
    <row r="177" spans="1:13" x14ac:dyDescent="0.25">
      <c r="A177" s="1"/>
      <c r="B177" s="2"/>
      <c r="C177" s="1"/>
      <c r="D177" s="1"/>
      <c r="E177" s="7"/>
      <c r="F177" s="24">
        <f t="shared" ref="F177:F210" si="24">G177-H177</f>
        <v>0</v>
      </c>
      <c r="G177" s="7"/>
      <c r="H177" s="10"/>
      <c r="I177" s="2" t="str">
        <f t="shared" ref="I177:I210" si="25">IF(F177=0,"",IF(C177="CRED",B177+(INT((G177-F177)/E177)+1)*D177,B177+INT((G177-F177)/E177)*D177))</f>
        <v/>
      </c>
      <c r="J177" s="1" t="str">
        <f t="shared" ref="J177:J210" ca="1" si="26">IF(I177="","",I177-TODAY())</f>
        <v/>
      </c>
      <c r="K177" s="3" t="str">
        <f t="shared" ref="K177:K210" ca="1" si="27">IF(J177="","",IF(J177&lt;0,"VENCIDO",IF(J177&lt;=1,"PRÓXIMO","VIGENTE")))</f>
        <v/>
      </c>
      <c r="L177" s="1">
        <f t="shared" ref="L177:L210" si="28">IF(F177=G177,0,INT((G177-F177)/E177))</f>
        <v>0</v>
      </c>
      <c r="M177" s="1">
        <f t="shared" ref="M177:M210" si="29">IF(F177=0,0,INT(F177/E177)+(IF(MOD(F177,E177)&gt;0,1,0)))</f>
        <v>0</v>
      </c>
    </row>
    <row r="178" spans="1:13" x14ac:dyDescent="0.25">
      <c r="A178" s="1"/>
      <c r="B178" s="2"/>
      <c r="C178" s="1"/>
      <c r="D178" s="1"/>
      <c r="E178" s="7"/>
      <c r="F178" s="24">
        <f t="shared" si="24"/>
        <v>0</v>
      </c>
      <c r="G178" s="7"/>
      <c r="H178" s="10"/>
      <c r="I178" s="2" t="str">
        <f t="shared" si="25"/>
        <v/>
      </c>
      <c r="J178" s="1" t="str">
        <f t="shared" ca="1" si="26"/>
        <v/>
      </c>
      <c r="K178" s="3" t="str">
        <f t="shared" ca="1" si="27"/>
        <v/>
      </c>
      <c r="L178" s="1">
        <f t="shared" si="28"/>
        <v>0</v>
      </c>
      <c r="M178" s="1">
        <f t="shared" si="29"/>
        <v>0</v>
      </c>
    </row>
    <row r="179" spans="1:13" x14ac:dyDescent="0.25">
      <c r="A179" s="1"/>
      <c r="B179" s="2"/>
      <c r="C179" s="1"/>
      <c r="D179" s="1"/>
      <c r="E179" s="7"/>
      <c r="F179" s="24">
        <f t="shared" si="24"/>
        <v>0</v>
      </c>
      <c r="G179" s="7"/>
      <c r="H179" s="10"/>
      <c r="I179" s="2" t="str">
        <f t="shared" si="25"/>
        <v/>
      </c>
      <c r="J179" s="1" t="str">
        <f t="shared" ca="1" si="26"/>
        <v/>
      </c>
      <c r="K179" s="3" t="str">
        <f t="shared" ca="1" si="27"/>
        <v/>
      </c>
      <c r="L179" s="1">
        <f t="shared" si="28"/>
        <v>0</v>
      </c>
      <c r="M179" s="1">
        <f t="shared" si="29"/>
        <v>0</v>
      </c>
    </row>
    <row r="180" spans="1:13" x14ac:dyDescent="0.25">
      <c r="A180" s="1"/>
      <c r="B180" s="2"/>
      <c r="C180" s="1"/>
      <c r="D180" s="1"/>
      <c r="E180" s="7"/>
      <c r="F180" s="24">
        <f t="shared" si="24"/>
        <v>0</v>
      </c>
      <c r="G180" s="7"/>
      <c r="H180" s="10"/>
      <c r="I180" s="2" t="str">
        <f t="shared" si="25"/>
        <v/>
      </c>
      <c r="J180" s="1" t="str">
        <f t="shared" ca="1" si="26"/>
        <v/>
      </c>
      <c r="K180" s="3" t="str">
        <f t="shared" ca="1" si="27"/>
        <v/>
      </c>
      <c r="L180" s="1">
        <f t="shared" si="28"/>
        <v>0</v>
      </c>
      <c r="M180" s="1">
        <f t="shared" si="29"/>
        <v>0</v>
      </c>
    </row>
    <row r="181" spans="1:13" x14ac:dyDescent="0.25">
      <c r="A181" s="1"/>
      <c r="B181" s="2"/>
      <c r="C181" s="1"/>
      <c r="D181" s="1"/>
      <c r="E181" s="7"/>
      <c r="F181" s="24">
        <f t="shared" si="24"/>
        <v>0</v>
      </c>
      <c r="G181" s="7"/>
      <c r="H181" s="10"/>
      <c r="I181" s="2" t="str">
        <f t="shared" si="25"/>
        <v/>
      </c>
      <c r="J181" s="1" t="str">
        <f t="shared" ca="1" si="26"/>
        <v/>
      </c>
      <c r="K181" s="3" t="str">
        <f t="shared" ca="1" si="27"/>
        <v/>
      </c>
      <c r="L181" s="1">
        <f t="shared" si="28"/>
        <v>0</v>
      </c>
      <c r="M181" s="1">
        <f t="shared" si="29"/>
        <v>0</v>
      </c>
    </row>
    <row r="182" spans="1:13" x14ac:dyDescent="0.25">
      <c r="A182" s="1"/>
      <c r="B182" s="2"/>
      <c r="C182" s="1"/>
      <c r="D182" s="1"/>
      <c r="E182" s="7"/>
      <c r="F182" s="24">
        <f t="shared" si="24"/>
        <v>0</v>
      </c>
      <c r="G182" s="7"/>
      <c r="H182" s="10"/>
      <c r="I182" s="2" t="str">
        <f t="shared" si="25"/>
        <v/>
      </c>
      <c r="J182" s="1" t="str">
        <f t="shared" ca="1" si="26"/>
        <v/>
      </c>
      <c r="K182" s="3" t="str">
        <f t="shared" ca="1" si="27"/>
        <v/>
      </c>
      <c r="L182" s="1">
        <f t="shared" si="28"/>
        <v>0</v>
      </c>
      <c r="M182" s="1">
        <f t="shared" si="29"/>
        <v>0</v>
      </c>
    </row>
    <row r="183" spans="1:13" x14ac:dyDescent="0.25">
      <c r="A183" s="1"/>
      <c r="B183" s="2"/>
      <c r="C183" s="1"/>
      <c r="D183" s="1"/>
      <c r="E183" s="7"/>
      <c r="F183" s="24">
        <f t="shared" si="24"/>
        <v>0</v>
      </c>
      <c r="G183" s="7"/>
      <c r="H183" s="10"/>
      <c r="I183" s="2" t="str">
        <f t="shared" si="25"/>
        <v/>
      </c>
      <c r="J183" s="1" t="str">
        <f t="shared" ca="1" si="26"/>
        <v/>
      </c>
      <c r="K183" s="3" t="str">
        <f t="shared" ca="1" si="27"/>
        <v/>
      </c>
      <c r="L183" s="1">
        <f t="shared" si="28"/>
        <v>0</v>
      </c>
      <c r="M183" s="1">
        <f t="shared" si="29"/>
        <v>0</v>
      </c>
    </row>
    <row r="184" spans="1:13" x14ac:dyDescent="0.25">
      <c r="A184" s="1"/>
      <c r="B184" s="2"/>
      <c r="C184" s="1"/>
      <c r="D184" s="1"/>
      <c r="E184" s="7"/>
      <c r="F184" s="24">
        <f t="shared" si="24"/>
        <v>0</v>
      </c>
      <c r="G184" s="7"/>
      <c r="H184" s="10"/>
      <c r="I184" s="2" t="str">
        <f t="shared" si="25"/>
        <v/>
      </c>
      <c r="J184" s="1" t="str">
        <f t="shared" ca="1" si="26"/>
        <v/>
      </c>
      <c r="K184" s="3" t="str">
        <f t="shared" ca="1" si="27"/>
        <v/>
      </c>
      <c r="L184" s="1">
        <f t="shared" si="28"/>
        <v>0</v>
      </c>
      <c r="M184" s="1">
        <f t="shared" si="29"/>
        <v>0</v>
      </c>
    </row>
    <row r="185" spans="1:13" x14ac:dyDescent="0.25">
      <c r="A185" s="1"/>
      <c r="B185" s="2"/>
      <c r="C185" s="1"/>
      <c r="D185" s="1"/>
      <c r="E185" s="7"/>
      <c r="F185" s="24">
        <f t="shared" si="24"/>
        <v>0</v>
      </c>
      <c r="G185" s="7"/>
      <c r="H185" s="10"/>
      <c r="I185" s="2" t="str">
        <f t="shared" si="25"/>
        <v/>
      </c>
      <c r="J185" s="1" t="str">
        <f t="shared" ca="1" si="26"/>
        <v/>
      </c>
      <c r="K185" s="3" t="str">
        <f t="shared" ca="1" si="27"/>
        <v/>
      </c>
      <c r="L185" s="1">
        <f t="shared" si="28"/>
        <v>0</v>
      </c>
      <c r="M185" s="1">
        <f t="shared" si="29"/>
        <v>0</v>
      </c>
    </row>
    <row r="186" spans="1:13" x14ac:dyDescent="0.25">
      <c r="A186" s="1"/>
      <c r="B186" s="2"/>
      <c r="C186" s="1"/>
      <c r="D186" s="1"/>
      <c r="E186" s="7"/>
      <c r="F186" s="24">
        <f t="shared" si="24"/>
        <v>0</v>
      </c>
      <c r="G186" s="7"/>
      <c r="H186" s="10"/>
      <c r="I186" s="2" t="str">
        <f t="shared" si="25"/>
        <v/>
      </c>
      <c r="J186" s="1" t="str">
        <f t="shared" ca="1" si="26"/>
        <v/>
      </c>
      <c r="K186" s="3" t="str">
        <f t="shared" ca="1" si="27"/>
        <v/>
      </c>
      <c r="L186" s="1">
        <f t="shared" si="28"/>
        <v>0</v>
      </c>
      <c r="M186" s="1">
        <f t="shared" si="29"/>
        <v>0</v>
      </c>
    </row>
    <row r="187" spans="1:13" x14ac:dyDescent="0.25">
      <c r="A187" s="1"/>
      <c r="B187" s="2"/>
      <c r="C187" s="1"/>
      <c r="D187" s="1"/>
      <c r="E187" s="7"/>
      <c r="F187" s="24">
        <f t="shared" si="24"/>
        <v>0</v>
      </c>
      <c r="G187" s="7"/>
      <c r="H187" s="10"/>
      <c r="I187" s="2" t="str">
        <f t="shared" si="25"/>
        <v/>
      </c>
      <c r="J187" s="1" t="str">
        <f t="shared" ca="1" si="26"/>
        <v/>
      </c>
      <c r="K187" s="3" t="str">
        <f t="shared" ca="1" si="27"/>
        <v/>
      </c>
      <c r="L187" s="1">
        <f t="shared" si="28"/>
        <v>0</v>
      </c>
      <c r="M187" s="1">
        <f t="shared" si="29"/>
        <v>0</v>
      </c>
    </row>
    <row r="188" spans="1:13" x14ac:dyDescent="0.25">
      <c r="A188" s="1"/>
      <c r="B188" s="2"/>
      <c r="C188" s="1"/>
      <c r="D188" s="1"/>
      <c r="E188" s="7"/>
      <c r="F188" s="24">
        <f t="shared" si="24"/>
        <v>0</v>
      </c>
      <c r="G188" s="7"/>
      <c r="H188" s="10"/>
      <c r="I188" s="2" t="str">
        <f t="shared" si="25"/>
        <v/>
      </c>
      <c r="J188" s="1" t="str">
        <f t="shared" ca="1" si="26"/>
        <v/>
      </c>
      <c r="K188" s="3" t="str">
        <f t="shared" ca="1" si="27"/>
        <v/>
      </c>
      <c r="L188" s="1">
        <f t="shared" si="28"/>
        <v>0</v>
      </c>
      <c r="M188" s="1">
        <f t="shared" si="29"/>
        <v>0</v>
      </c>
    </row>
    <row r="189" spans="1:13" x14ac:dyDescent="0.25">
      <c r="A189" s="1"/>
      <c r="B189" s="2"/>
      <c r="C189" s="1"/>
      <c r="D189" s="1"/>
      <c r="E189" s="7"/>
      <c r="F189" s="24">
        <f t="shared" si="24"/>
        <v>0</v>
      </c>
      <c r="G189" s="7"/>
      <c r="H189" s="10"/>
      <c r="I189" s="2" t="str">
        <f t="shared" si="25"/>
        <v/>
      </c>
      <c r="J189" s="1" t="str">
        <f t="shared" ca="1" si="26"/>
        <v/>
      </c>
      <c r="K189" s="3" t="str">
        <f t="shared" ca="1" si="27"/>
        <v/>
      </c>
      <c r="L189" s="1">
        <f t="shared" si="28"/>
        <v>0</v>
      </c>
      <c r="M189" s="1">
        <f t="shared" si="29"/>
        <v>0</v>
      </c>
    </row>
    <row r="190" spans="1:13" x14ac:dyDescent="0.25">
      <c r="A190" s="1"/>
      <c r="B190" s="2"/>
      <c r="C190" s="1"/>
      <c r="D190" s="1"/>
      <c r="E190" s="7"/>
      <c r="F190" s="24">
        <f t="shared" si="24"/>
        <v>0</v>
      </c>
      <c r="G190" s="7"/>
      <c r="H190" s="10"/>
      <c r="I190" s="2" t="str">
        <f t="shared" si="25"/>
        <v/>
      </c>
      <c r="J190" s="1" t="str">
        <f t="shared" ca="1" si="26"/>
        <v/>
      </c>
      <c r="K190" s="3" t="str">
        <f t="shared" ca="1" si="27"/>
        <v/>
      </c>
      <c r="L190" s="1">
        <f t="shared" si="28"/>
        <v>0</v>
      </c>
      <c r="M190" s="1">
        <f t="shared" si="29"/>
        <v>0</v>
      </c>
    </row>
    <row r="191" spans="1:13" x14ac:dyDescent="0.25">
      <c r="A191" s="1"/>
      <c r="B191" s="2"/>
      <c r="C191" s="1"/>
      <c r="D191" s="1"/>
      <c r="E191" s="7"/>
      <c r="F191" s="24">
        <f t="shared" si="24"/>
        <v>0</v>
      </c>
      <c r="G191" s="7"/>
      <c r="H191" s="10"/>
      <c r="I191" s="2" t="str">
        <f t="shared" si="25"/>
        <v/>
      </c>
      <c r="J191" s="1" t="str">
        <f t="shared" ca="1" si="26"/>
        <v/>
      </c>
      <c r="K191" s="3" t="str">
        <f t="shared" ca="1" si="27"/>
        <v/>
      </c>
      <c r="L191" s="1">
        <f t="shared" si="28"/>
        <v>0</v>
      </c>
      <c r="M191" s="1">
        <f t="shared" si="29"/>
        <v>0</v>
      </c>
    </row>
    <row r="192" spans="1:13" x14ac:dyDescent="0.25">
      <c r="A192" s="1"/>
      <c r="B192" s="2"/>
      <c r="C192" s="1"/>
      <c r="D192" s="1"/>
      <c r="E192" s="7"/>
      <c r="F192" s="24">
        <f t="shared" si="24"/>
        <v>0</v>
      </c>
      <c r="G192" s="7"/>
      <c r="H192" s="10"/>
      <c r="I192" s="2" t="str">
        <f t="shared" si="25"/>
        <v/>
      </c>
      <c r="J192" s="1" t="str">
        <f t="shared" ca="1" si="26"/>
        <v/>
      </c>
      <c r="K192" s="3" t="str">
        <f t="shared" ca="1" si="27"/>
        <v/>
      </c>
      <c r="L192" s="1">
        <f t="shared" si="28"/>
        <v>0</v>
      </c>
      <c r="M192" s="1">
        <f t="shared" si="29"/>
        <v>0</v>
      </c>
    </row>
    <row r="193" spans="1:13" x14ac:dyDescent="0.25">
      <c r="A193" s="1"/>
      <c r="B193" s="2"/>
      <c r="C193" s="1"/>
      <c r="D193" s="1"/>
      <c r="E193" s="7"/>
      <c r="F193" s="24">
        <f t="shared" si="24"/>
        <v>0</v>
      </c>
      <c r="G193" s="7"/>
      <c r="H193" s="10"/>
      <c r="I193" s="2" t="str">
        <f t="shared" si="25"/>
        <v/>
      </c>
      <c r="J193" s="1" t="str">
        <f t="shared" ca="1" si="26"/>
        <v/>
      </c>
      <c r="K193" s="3" t="str">
        <f t="shared" ca="1" si="27"/>
        <v/>
      </c>
      <c r="L193" s="1">
        <f t="shared" si="28"/>
        <v>0</v>
      </c>
      <c r="M193" s="1">
        <f t="shared" si="29"/>
        <v>0</v>
      </c>
    </row>
    <row r="194" spans="1:13" x14ac:dyDescent="0.25">
      <c r="A194" s="1"/>
      <c r="B194" s="2"/>
      <c r="C194" s="1"/>
      <c r="D194" s="1"/>
      <c r="E194" s="7"/>
      <c r="F194" s="24">
        <f t="shared" si="24"/>
        <v>0</v>
      </c>
      <c r="G194" s="7"/>
      <c r="H194" s="10"/>
      <c r="I194" s="2" t="str">
        <f t="shared" si="25"/>
        <v/>
      </c>
      <c r="J194" s="1" t="str">
        <f t="shared" ca="1" si="26"/>
        <v/>
      </c>
      <c r="K194" s="3" t="str">
        <f t="shared" ca="1" si="27"/>
        <v/>
      </c>
      <c r="L194" s="1">
        <f t="shared" si="28"/>
        <v>0</v>
      </c>
      <c r="M194" s="1">
        <f t="shared" si="29"/>
        <v>0</v>
      </c>
    </row>
    <row r="195" spans="1:13" x14ac:dyDescent="0.25">
      <c r="A195" s="1"/>
      <c r="B195" s="2"/>
      <c r="C195" s="1"/>
      <c r="D195" s="1"/>
      <c r="E195" s="7"/>
      <c r="F195" s="24">
        <f t="shared" si="24"/>
        <v>0</v>
      </c>
      <c r="G195" s="7"/>
      <c r="H195" s="10"/>
      <c r="I195" s="2" t="str">
        <f t="shared" si="25"/>
        <v/>
      </c>
      <c r="J195" s="1" t="str">
        <f t="shared" ca="1" si="26"/>
        <v/>
      </c>
      <c r="K195" s="3" t="str">
        <f t="shared" ca="1" si="27"/>
        <v/>
      </c>
      <c r="L195" s="1">
        <f t="shared" si="28"/>
        <v>0</v>
      </c>
      <c r="M195" s="1">
        <f t="shared" si="29"/>
        <v>0</v>
      </c>
    </row>
    <row r="196" spans="1:13" x14ac:dyDescent="0.25">
      <c r="A196" s="1"/>
      <c r="B196" s="2"/>
      <c r="C196" s="1"/>
      <c r="D196" s="1"/>
      <c r="E196" s="7"/>
      <c r="F196" s="24">
        <f t="shared" si="24"/>
        <v>0</v>
      </c>
      <c r="G196" s="7"/>
      <c r="H196" s="10"/>
      <c r="I196" s="2" t="str">
        <f t="shared" si="25"/>
        <v/>
      </c>
      <c r="J196" s="1" t="str">
        <f t="shared" ca="1" si="26"/>
        <v/>
      </c>
      <c r="K196" s="3" t="str">
        <f t="shared" ca="1" si="27"/>
        <v/>
      </c>
      <c r="L196" s="1">
        <f t="shared" si="28"/>
        <v>0</v>
      </c>
      <c r="M196" s="1">
        <f t="shared" si="29"/>
        <v>0</v>
      </c>
    </row>
    <row r="197" spans="1:13" x14ac:dyDescent="0.25">
      <c r="A197" s="1"/>
      <c r="B197" s="2"/>
      <c r="C197" s="1"/>
      <c r="D197" s="1"/>
      <c r="E197" s="7"/>
      <c r="F197" s="24">
        <f t="shared" si="24"/>
        <v>0</v>
      </c>
      <c r="G197" s="7"/>
      <c r="H197" s="10"/>
      <c r="I197" s="2" t="str">
        <f t="shared" si="25"/>
        <v/>
      </c>
      <c r="J197" s="1" t="str">
        <f t="shared" ca="1" si="26"/>
        <v/>
      </c>
      <c r="K197" s="3" t="str">
        <f t="shared" ca="1" si="27"/>
        <v/>
      </c>
      <c r="L197" s="1">
        <f t="shared" si="28"/>
        <v>0</v>
      </c>
      <c r="M197" s="1">
        <f t="shared" si="29"/>
        <v>0</v>
      </c>
    </row>
    <row r="198" spans="1:13" x14ac:dyDescent="0.25">
      <c r="A198" s="1"/>
      <c r="B198" s="2"/>
      <c r="C198" s="1"/>
      <c r="D198" s="1"/>
      <c r="E198" s="7"/>
      <c r="F198" s="24">
        <f t="shared" si="24"/>
        <v>0</v>
      </c>
      <c r="G198" s="7"/>
      <c r="H198" s="10"/>
      <c r="I198" s="2" t="str">
        <f t="shared" si="25"/>
        <v/>
      </c>
      <c r="J198" s="1" t="str">
        <f t="shared" ca="1" si="26"/>
        <v/>
      </c>
      <c r="K198" s="3" t="str">
        <f t="shared" ca="1" si="27"/>
        <v/>
      </c>
      <c r="L198" s="1">
        <f t="shared" si="28"/>
        <v>0</v>
      </c>
      <c r="M198" s="1">
        <f t="shared" si="29"/>
        <v>0</v>
      </c>
    </row>
    <row r="199" spans="1:13" x14ac:dyDescent="0.25">
      <c r="A199" s="1"/>
      <c r="B199" s="2"/>
      <c r="C199" s="1"/>
      <c r="D199" s="1"/>
      <c r="E199" s="7"/>
      <c r="F199" s="24">
        <f t="shared" si="24"/>
        <v>0</v>
      </c>
      <c r="G199" s="7"/>
      <c r="H199" s="10"/>
      <c r="I199" s="2" t="str">
        <f t="shared" si="25"/>
        <v/>
      </c>
      <c r="J199" s="1" t="str">
        <f t="shared" ca="1" si="26"/>
        <v/>
      </c>
      <c r="K199" s="3" t="str">
        <f t="shared" ca="1" si="27"/>
        <v/>
      </c>
      <c r="L199" s="1">
        <f t="shared" si="28"/>
        <v>0</v>
      </c>
      <c r="M199" s="1">
        <f t="shared" si="29"/>
        <v>0</v>
      </c>
    </row>
    <row r="200" spans="1:13" x14ac:dyDescent="0.25">
      <c r="A200" s="1"/>
      <c r="B200" s="2"/>
      <c r="C200" s="1"/>
      <c r="D200" s="1"/>
      <c r="E200" s="7"/>
      <c r="F200" s="24">
        <f t="shared" si="24"/>
        <v>0</v>
      </c>
      <c r="G200" s="7"/>
      <c r="H200" s="10"/>
      <c r="I200" s="2" t="str">
        <f t="shared" si="25"/>
        <v/>
      </c>
      <c r="J200" s="1" t="str">
        <f t="shared" ca="1" si="26"/>
        <v/>
      </c>
      <c r="K200" s="3" t="str">
        <f t="shared" ca="1" si="27"/>
        <v/>
      </c>
      <c r="L200" s="1">
        <f t="shared" si="28"/>
        <v>0</v>
      </c>
      <c r="M200" s="1">
        <f t="shared" si="29"/>
        <v>0</v>
      </c>
    </row>
    <row r="201" spans="1:13" x14ac:dyDescent="0.25">
      <c r="A201" s="1"/>
      <c r="B201" s="2"/>
      <c r="C201" s="1"/>
      <c r="D201" s="1"/>
      <c r="E201" s="7"/>
      <c r="F201" s="24">
        <f t="shared" si="24"/>
        <v>0</v>
      </c>
      <c r="G201" s="7"/>
      <c r="H201" s="10"/>
      <c r="I201" s="2" t="str">
        <f t="shared" si="25"/>
        <v/>
      </c>
      <c r="J201" s="1" t="str">
        <f t="shared" ca="1" si="26"/>
        <v/>
      </c>
      <c r="K201" s="3" t="str">
        <f t="shared" ca="1" si="27"/>
        <v/>
      </c>
      <c r="L201" s="1">
        <f t="shared" si="28"/>
        <v>0</v>
      </c>
      <c r="M201" s="1">
        <f t="shared" si="29"/>
        <v>0</v>
      </c>
    </row>
    <row r="202" spans="1:13" x14ac:dyDescent="0.25">
      <c r="A202" s="1"/>
      <c r="B202" s="2"/>
      <c r="C202" s="1"/>
      <c r="D202" s="1"/>
      <c r="E202" s="7"/>
      <c r="F202" s="24">
        <f t="shared" si="24"/>
        <v>0</v>
      </c>
      <c r="G202" s="7"/>
      <c r="H202" s="10"/>
      <c r="I202" s="2" t="str">
        <f t="shared" si="25"/>
        <v/>
      </c>
      <c r="J202" s="1" t="str">
        <f t="shared" ca="1" si="26"/>
        <v/>
      </c>
      <c r="K202" s="3" t="str">
        <f t="shared" ca="1" si="27"/>
        <v/>
      </c>
      <c r="L202" s="1">
        <f t="shared" si="28"/>
        <v>0</v>
      </c>
      <c r="M202" s="1">
        <f t="shared" si="29"/>
        <v>0</v>
      </c>
    </row>
    <row r="203" spans="1:13" x14ac:dyDescent="0.25">
      <c r="A203" s="1"/>
      <c r="B203" s="2"/>
      <c r="C203" s="1"/>
      <c r="D203" s="1"/>
      <c r="E203" s="7"/>
      <c r="F203" s="24">
        <f t="shared" si="24"/>
        <v>0</v>
      </c>
      <c r="G203" s="7"/>
      <c r="H203" s="10"/>
      <c r="I203" s="2" t="str">
        <f t="shared" si="25"/>
        <v/>
      </c>
      <c r="J203" s="1" t="str">
        <f t="shared" ca="1" si="26"/>
        <v/>
      </c>
      <c r="K203" s="3" t="str">
        <f t="shared" ca="1" si="27"/>
        <v/>
      </c>
      <c r="L203" s="1">
        <f t="shared" si="28"/>
        <v>0</v>
      </c>
      <c r="M203" s="1">
        <f t="shared" si="29"/>
        <v>0</v>
      </c>
    </row>
    <row r="204" spans="1:13" x14ac:dyDescent="0.25">
      <c r="A204" s="1"/>
      <c r="B204" s="2"/>
      <c r="C204" s="1"/>
      <c r="D204" s="1"/>
      <c r="E204" s="7"/>
      <c r="F204" s="24">
        <f t="shared" si="24"/>
        <v>0</v>
      </c>
      <c r="G204" s="7"/>
      <c r="H204" s="10"/>
      <c r="I204" s="2" t="str">
        <f t="shared" si="25"/>
        <v/>
      </c>
      <c r="J204" s="1" t="str">
        <f t="shared" ca="1" si="26"/>
        <v/>
      </c>
      <c r="K204" s="3" t="str">
        <f t="shared" ca="1" si="27"/>
        <v/>
      </c>
      <c r="L204" s="1">
        <f t="shared" si="28"/>
        <v>0</v>
      </c>
      <c r="M204" s="1">
        <f t="shared" si="29"/>
        <v>0</v>
      </c>
    </row>
    <row r="205" spans="1:13" x14ac:dyDescent="0.25">
      <c r="A205" s="1"/>
      <c r="B205" s="2"/>
      <c r="C205" s="1"/>
      <c r="D205" s="1"/>
      <c r="E205" s="7"/>
      <c r="F205" s="24">
        <f t="shared" si="24"/>
        <v>0</v>
      </c>
      <c r="G205" s="7"/>
      <c r="H205" s="10"/>
      <c r="I205" s="2" t="str">
        <f t="shared" si="25"/>
        <v/>
      </c>
      <c r="J205" s="1" t="str">
        <f t="shared" ca="1" si="26"/>
        <v/>
      </c>
      <c r="K205" s="3" t="str">
        <f t="shared" ca="1" si="27"/>
        <v/>
      </c>
      <c r="L205" s="1">
        <f t="shared" si="28"/>
        <v>0</v>
      </c>
      <c r="M205" s="1">
        <f t="shared" si="29"/>
        <v>0</v>
      </c>
    </row>
    <row r="206" spans="1:13" x14ac:dyDescent="0.25">
      <c r="A206" s="1"/>
      <c r="B206" s="2"/>
      <c r="C206" s="1"/>
      <c r="D206" s="1"/>
      <c r="E206" s="7"/>
      <c r="F206" s="24">
        <f t="shared" si="24"/>
        <v>0</v>
      </c>
      <c r="G206" s="7"/>
      <c r="H206" s="10"/>
      <c r="I206" s="2" t="str">
        <f t="shared" si="25"/>
        <v/>
      </c>
      <c r="J206" s="1" t="str">
        <f t="shared" ca="1" si="26"/>
        <v/>
      </c>
      <c r="K206" s="3" t="str">
        <f t="shared" ca="1" si="27"/>
        <v/>
      </c>
      <c r="L206" s="1">
        <f t="shared" si="28"/>
        <v>0</v>
      </c>
      <c r="M206" s="1">
        <f t="shared" si="29"/>
        <v>0</v>
      </c>
    </row>
    <row r="207" spans="1:13" x14ac:dyDescent="0.25">
      <c r="A207" s="1"/>
      <c r="B207" s="2"/>
      <c r="C207" s="1"/>
      <c r="D207" s="1"/>
      <c r="E207" s="7"/>
      <c r="F207" s="24">
        <f t="shared" si="24"/>
        <v>0</v>
      </c>
      <c r="G207" s="7"/>
      <c r="H207" s="10"/>
      <c r="I207" s="2" t="str">
        <f t="shared" si="25"/>
        <v/>
      </c>
      <c r="J207" s="1" t="str">
        <f t="shared" ca="1" si="26"/>
        <v/>
      </c>
      <c r="K207" s="3" t="str">
        <f t="shared" ca="1" si="27"/>
        <v/>
      </c>
      <c r="L207" s="1">
        <f t="shared" si="28"/>
        <v>0</v>
      </c>
      <c r="M207" s="1">
        <f t="shared" si="29"/>
        <v>0</v>
      </c>
    </row>
    <row r="208" spans="1:13" x14ac:dyDescent="0.25">
      <c r="A208" s="1"/>
      <c r="B208" s="2"/>
      <c r="C208" s="1"/>
      <c r="D208" s="1"/>
      <c r="E208" s="7"/>
      <c r="F208" s="24">
        <f t="shared" si="24"/>
        <v>0</v>
      </c>
      <c r="G208" s="7"/>
      <c r="H208" s="10"/>
      <c r="I208" s="2" t="str">
        <f t="shared" si="25"/>
        <v/>
      </c>
      <c r="J208" s="1" t="str">
        <f t="shared" ca="1" si="26"/>
        <v/>
      </c>
      <c r="K208" s="3" t="str">
        <f t="shared" ca="1" si="27"/>
        <v/>
      </c>
      <c r="L208" s="1">
        <f t="shared" si="28"/>
        <v>0</v>
      </c>
      <c r="M208" s="1">
        <f t="shared" si="29"/>
        <v>0</v>
      </c>
    </row>
    <row r="209" spans="1:13" x14ac:dyDescent="0.25">
      <c r="A209" s="1"/>
      <c r="B209" s="2"/>
      <c r="C209" s="1"/>
      <c r="D209" s="1"/>
      <c r="E209" s="7"/>
      <c r="F209" s="24">
        <f t="shared" si="24"/>
        <v>0</v>
      </c>
      <c r="G209" s="7"/>
      <c r="H209" s="10"/>
      <c r="I209" s="2" t="str">
        <f t="shared" si="25"/>
        <v/>
      </c>
      <c r="J209" s="1" t="str">
        <f t="shared" ca="1" si="26"/>
        <v/>
      </c>
      <c r="K209" s="3" t="str">
        <f ca="1">IF(J209="","",IF(J209&lt;0,"VENCIDO",IF(J209&lt;=1,"PRÓXIMO","VIGENTE")))</f>
        <v/>
      </c>
      <c r="L209" s="1">
        <f t="shared" si="28"/>
        <v>0</v>
      </c>
      <c r="M209" s="1">
        <f t="shared" si="29"/>
        <v>0</v>
      </c>
    </row>
    <row r="210" spans="1:13" x14ac:dyDescent="0.25">
      <c r="A210" s="1"/>
      <c r="B210" s="2"/>
      <c r="C210" s="1"/>
      <c r="D210" s="1"/>
      <c r="E210" s="7"/>
      <c r="F210" s="24">
        <f t="shared" si="24"/>
        <v>0</v>
      </c>
      <c r="G210" s="7"/>
      <c r="H210" s="10"/>
      <c r="I210" s="2" t="str">
        <f t="shared" si="25"/>
        <v/>
      </c>
      <c r="J210" s="1" t="str">
        <f t="shared" ca="1" si="26"/>
        <v/>
      </c>
      <c r="K210" s="3" t="str">
        <f t="shared" ca="1" si="27"/>
        <v/>
      </c>
      <c r="L210" s="1">
        <f t="shared" si="28"/>
        <v>0</v>
      </c>
      <c r="M210" s="1">
        <f t="shared" si="29"/>
        <v>0</v>
      </c>
    </row>
    <row r="211" spans="1:13" x14ac:dyDescent="0.25">
      <c r="A211" s="1"/>
      <c r="B211" s="2"/>
      <c r="C211" s="1"/>
      <c r="D211" s="1"/>
      <c r="E211" s="7"/>
      <c r="F211" s="24">
        <f t="shared" ref="F211:F233" si="30">G211-H211</f>
        <v>0</v>
      </c>
      <c r="G211" s="7"/>
      <c r="H211" s="10"/>
      <c r="I211" s="2" t="str">
        <f t="shared" ref="I211:I233" si="31">IF(F211=0,"",IF(C211="CRED",B211+(INT((G211-F211)/E211)+1)*D211,B211+INT((G211-F211)/E211)*D211))</f>
        <v/>
      </c>
      <c r="J211" s="1" t="str">
        <f t="shared" ref="J211:J233" ca="1" si="32">IF(I211="","",I211-TODAY())</f>
        <v/>
      </c>
      <c r="K211" s="3" t="str">
        <f t="shared" ref="K211:K233" ca="1" si="33">IF(J211="","",IF(J211&lt;0,"VENCIDO",IF(J211&lt;=1,"PRÓXIMO","VIGENTE")))</f>
        <v/>
      </c>
      <c r="L211" s="1">
        <f t="shared" ref="L211:L233" si="34">IF(F211=G211,0,INT((G211-F211)/E211))</f>
        <v>0</v>
      </c>
      <c r="M211" s="1">
        <f t="shared" ref="M211:M233" si="35">IF(F211=0,0,INT(F211/E211)+(IF(MOD(F211,E211)&gt;0,1,0)))</f>
        <v>0</v>
      </c>
    </row>
    <row r="212" spans="1:13" x14ac:dyDescent="0.25">
      <c r="A212" s="1"/>
      <c r="B212" s="2"/>
      <c r="C212" s="1"/>
      <c r="D212" s="1"/>
      <c r="E212" s="7"/>
      <c r="F212" s="24">
        <f t="shared" si="30"/>
        <v>0</v>
      </c>
      <c r="G212" s="7"/>
      <c r="H212" s="10"/>
      <c r="I212" s="2" t="str">
        <f t="shared" si="31"/>
        <v/>
      </c>
      <c r="J212" s="1" t="str">
        <f t="shared" ca="1" si="32"/>
        <v/>
      </c>
      <c r="K212" s="3" t="str">
        <f t="shared" ca="1" si="33"/>
        <v/>
      </c>
      <c r="L212" s="1">
        <f t="shared" si="34"/>
        <v>0</v>
      </c>
      <c r="M212" s="1">
        <f t="shared" si="35"/>
        <v>0</v>
      </c>
    </row>
    <row r="213" spans="1:13" x14ac:dyDescent="0.25">
      <c r="A213" s="1"/>
      <c r="B213" s="2"/>
      <c r="C213" s="1"/>
      <c r="D213" s="1"/>
      <c r="E213" s="7"/>
      <c r="F213" s="24">
        <f t="shared" si="30"/>
        <v>0</v>
      </c>
      <c r="G213" s="7"/>
      <c r="H213" s="10"/>
      <c r="I213" s="2" t="str">
        <f t="shared" si="31"/>
        <v/>
      </c>
      <c r="J213" s="1" t="str">
        <f t="shared" ca="1" si="32"/>
        <v/>
      </c>
      <c r="K213" s="3" t="str">
        <f t="shared" ca="1" si="33"/>
        <v/>
      </c>
      <c r="L213" s="1">
        <f t="shared" si="34"/>
        <v>0</v>
      </c>
      <c r="M213" s="1">
        <f t="shared" si="35"/>
        <v>0</v>
      </c>
    </row>
    <row r="214" spans="1:13" x14ac:dyDescent="0.25">
      <c r="A214" s="1"/>
      <c r="B214" s="2"/>
      <c r="C214" s="1"/>
      <c r="D214" s="1"/>
      <c r="E214" s="7"/>
      <c r="F214" s="24">
        <f t="shared" si="30"/>
        <v>0</v>
      </c>
      <c r="G214" s="7"/>
      <c r="H214" s="10"/>
      <c r="I214" s="2" t="str">
        <f t="shared" si="31"/>
        <v/>
      </c>
      <c r="J214" s="1" t="str">
        <f t="shared" ca="1" si="32"/>
        <v/>
      </c>
      <c r="K214" s="3" t="str">
        <f t="shared" ca="1" si="33"/>
        <v/>
      </c>
      <c r="L214" s="1">
        <f t="shared" si="34"/>
        <v>0</v>
      </c>
      <c r="M214" s="1">
        <f t="shared" si="35"/>
        <v>0</v>
      </c>
    </row>
    <row r="215" spans="1:13" x14ac:dyDescent="0.25">
      <c r="A215" s="1"/>
      <c r="B215" s="2"/>
      <c r="C215" s="1"/>
      <c r="D215" s="1"/>
      <c r="E215" s="7"/>
      <c r="F215" s="24">
        <f t="shared" si="30"/>
        <v>0</v>
      </c>
      <c r="G215" s="7"/>
      <c r="H215" s="10"/>
      <c r="I215" s="2" t="str">
        <f t="shared" si="31"/>
        <v/>
      </c>
      <c r="J215" s="1" t="str">
        <f t="shared" ca="1" si="32"/>
        <v/>
      </c>
      <c r="K215" s="3" t="str">
        <f t="shared" ca="1" si="33"/>
        <v/>
      </c>
      <c r="L215" s="1">
        <f t="shared" si="34"/>
        <v>0</v>
      </c>
      <c r="M215" s="1">
        <f t="shared" si="35"/>
        <v>0</v>
      </c>
    </row>
    <row r="216" spans="1:13" x14ac:dyDescent="0.25">
      <c r="A216" s="1"/>
      <c r="B216" s="2"/>
      <c r="C216" s="1"/>
      <c r="D216" s="1"/>
      <c r="E216" s="7"/>
      <c r="F216" s="24">
        <f t="shared" si="30"/>
        <v>0</v>
      </c>
      <c r="G216" s="7"/>
      <c r="H216" s="10"/>
      <c r="I216" s="2" t="str">
        <f t="shared" si="31"/>
        <v/>
      </c>
      <c r="J216" s="1" t="str">
        <f t="shared" ca="1" si="32"/>
        <v/>
      </c>
      <c r="K216" s="3" t="str">
        <f t="shared" ca="1" si="33"/>
        <v/>
      </c>
      <c r="L216" s="1">
        <f t="shared" si="34"/>
        <v>0</v>
      </c>
      <c r="M216" s="1">
        <f t="shared" si="35"/>
        <v>0</v>
      </c>
    </row>
    <row r="217" spans="1:13" x14ac:dyDescent="0.25">
      <c r="A217" s="1" t="s">
        <v>44</v>
      </c>
      <c r="B217" s="2" t="s">
        <v>13</v>
      </c>
      <c r="C217" s="21">
        <v>45968</v>
      </c>
      <c r="D217" s="1">
        <v>20000</v>
      </c>
      <c r="E217" s="7"/>
      <c r="F217" s="24">
        <f t="shared" si="30"/>
        <v>0</v>
      </c>
      <c r="G217" s="7"/>
      <c r="H217" s="10"/>
      <c r="I217" s="2" t="str">
        <f t="shared" si="31"/>
        <v/>
      </c>
      <c r="J217" s="1" t="str">
        <f t="shared" ca="1" si="32"/>
        <v/>
      </c>
      <c r="K217" s="3" t="str">
        <f t="shared" ca="1" si="33"/>
        <v/>
      </c>
      <c r="L217" s="1">
        <f t="shared" si="34"/>
        <v>0</v>
      </c>
      <c r="M217" s="1">
        <f t="shared" si="35"/>
        <v>0</v>
      </c>
    </row>
    <row r="218" spans="1:13" x14ac:dyDescent="0.25">
      <c r="A218" s="1"/>
      <c r="B218" s="2"/>
      <c r="C218" s="1"/>
      <c r="D218" s="1"/>
      <c r="E218" s="7"/>
      <c r="F218" s="24">
        <f t="shared" si="30"/>
        <v>0</v>
      </c>
      <c r="G218" s="7"/>
      <c r="H218" s="10"/>
      <c r="I218" s="2" t="str">
        <f t="shared" si="31"/>
        <v/>
      </c>
      <c r="J218" s="1" t="str">
        <f t="shared" ca="1" si="32"/>
        <v/>
      </c>
      <c r="K218" s="3" t="str">
        <f t="shared" ca="1" si="33"/>
        <v/>
      </c>
      <c r="L218" s="1">
        <f t="shared" si="34"/>
        <v>0</v>
      </c>
      <c r="M218" s="1">
        <f t="shared" si="35"/>
        <v>0</v>
      </c>
    </row>
    <row r="219" spans="1:13" x14ac:dyDescent="0.25">
      <c r="A219" s="1"/>
      <c r="B219" s="2"/>
      <c r="C219" s="1"/>
      <c r="D219" s="1"/>
      <c r="E219" s="7"/>
      <c r="F219" s="24">
        <f t="shared" si="30"/>
        <v>0</v>
      </c>
      <c r="G219" s="7"/>
      <c r="H219" s="10"/>
      <c r="I219" s="2" t="str">
        <f t="shared" si="31"/>
        <v/>
      </c>
      <c r="J219" s="1" t="str">
        <f t="shared" ca="1" si="32"/>
        <v/>
      </c>
      <c r="K219" s="3" t="str">
        <f t="shared" ca="1" si="33"/>
        <v/>
      </c>
      <c r="L219" s="1">
        <f t="shared" si="34"/>
        <v>0</v>
      </c>
      <c r="M219" s="1">
        <f t="shared" si="35"/>
        <v>0</v>
      </c>
    </row>
    <row r="220" spans="1:13" x14ac:dyDescent="0.25">
      <c r="A220" s="1"/>
      <c r="B220" s="2"/>
      <c r="C220" s="1"/>
      <c r="D220" s="1"/>
      <c r="E220" s="7"/>
      <c r="F220" s="24">
        <f t="shared" si="30"/>
        <v>0</v>
      </c>
      <c r="G220" s="7"/>
      <c r="H220" s="10"/>
      <c r="I220" s="2" t="str">
        <f t="shared" si="31"/>
        <v/>
      </c>
      <c r="J220" s="1" t="str">
        <f t="shared" ca="1" si="32"/>
        <v/>
      </c>
      <c r="K220" s="3" t="str">
        <f t="shared" ca="1" si="33"/>
        <v/>
      </c>
      <c r="L220" s="1">
        <f t="shared" si="34"/>
        <v>0</v>
      </c>
      <c r="M220" s="1">
        <f t="shared" si="35"/>
        <v>0</v>
      </c>
    </row>
    <row r="221" spans="1:13" x14ac:dyDescent="0.25">
      <c r="A221" s="1"/>
      <c r="B221" s="2"/>
      <c r="C221" s="1"/>
      <c r="D221" s="1"/>
      <c r="E221" s="7"/>
      <c r="F221" s="24">
        <f t="shared" si="30"/>
        <v>0</v>
      </c>
      <c r="G221" s="7"/>
      <c r="H221" s="10"/>
      <c r="I221" s="2" t="str">
        <f t="shared" si="31"/>
        <v/>
      </c>
      <c r="J221" s="1" t="str">
        <f t="shared" ca="1" si="32"/>
        <v/>
      </c>
      <c r="K221" s="3" t="str">
        <f t="shared" ca="1" si="33"/>
        <v/>
      </c>
      <c r="L221" s="1">
        <f t="shared" si="34"/>
        <v>0</v>
      </c>
      <c r="M221" s="1">
        <f t="shared" si="35"/>
        <v>0</v>
      </c>
    </row>
    <row r="222" spans="1:13" x14ac:dyDescent="0.25">
      <c r="A222" s="1"/>
      <c r="B222" s="2"/>
      <c r="C222" s="1"/>
      <c r="D222" s="1"/>
      <c r="E222" s="7"/>
      <c r="F222" s="24">
        <f t="shared" si="30"/>
        <v>0</v>
      </c>
      <c r="G222" s="7"/>
      <c r="H222" s="10"/>
      <c r="I222" s="2" t="str">
        <f t="shared" si="31"/>
        <v/>
      </c>
      <c r="J222" s="1" t="str">
        <f t="shared" ca="1" si="32"/>
        <v/>
      </c>
      <c r="K222" s="3" t="str">
        <f t="shared" ca="1" si="33"/>
        <v/>
      </c>
      <c r="L222" s="1">
        <f t="shared" si="34"/>
        <v>0</v>
      </c>
      <c r="M222" s="1">
        <f t="shared" si="35"/>
        <v>0</v>
      </c>
    </row>
    <row r="223" spans="1:13" x14ac:dyDescent="0.25">
      <c r="A223" s="1"/>
      <c r="B223" s="2"/>
      <c r="C223" s="1"/>
      <c r="D223" s="1"/>
      <c r="E223" s="7"/>
      <c r="F223" s="24">
        <f t="shared" si="30"/>
        <v>0</v>
      </c>
      <c r="G223" s="7"/>
      <c r="H223" s="10"/>
      <c r="I223" s="2" t="str">
        <f t="shared" si="31"/>
        <v/>
      </c>
      <c r="J223" s="1" t="str">
        <f t="shared" ca="1" si="32"/>
        <v/>
      </c>
      <c r="K223" s="3" t="str">
        <f t="shared" ca="1" si="33"/>
        <v/>
      </c>
      <c r="L223" s="1">
        <f t="shared" si="34"/>
        <v>0</v>
      </c>
      <c r="M223" s="1">
        <f t="shared" si="35"/>
        <v>0</v>
      </c>
    </row>
    <row r="224" spans="1:13" x14ac:dyDescent="0.25">
      <c r="A224" s="1"/>
      <c r="B224" s="2"/>
      <c r="C224" s="1"/>
      <c r="D224" s="1"/>
      <c r="E224" s="7"/>
      <c r="F224" s="24">
        <f t="shared" si="30"/>
        <v>0</v>
      </c>
      <c r="G224" s="7"/>
      <c r="H224" s="10"/>
      <c r="I224" s="2" t="str">
        <f t="shared" si="31"/>
        <v/>
      </c>
      <c r="J224" s="1" t="str">
        <f t="shared" ca="1" si="32"/>
        <v/>
      </c>
      <c r="K224" s="3" t="str">
        <f t="shared" ca="1" si="33"/>
        <v/>
      </c>
      <c r="L224" s="1">
        <f t="shared" si="34"/>
        <v>0</v>
      </c>
      <c r="M224" s="1">
        <f t="shared" si="35"/>
        <v>0</v>
      </c>
    </row>
    <row r="225" spans="1:13" x14ac:dyDescent="0.25">
      <c r="A225" s="1"/>
      <c r="B225" s="2"/>
      <c r="C225" s="1"/>
      <c r="D225" s="1"/>
      <c r="E225" s="7"/>
      <c r="F225" s="24">
        <f t="shared" si="30"/>
        <v>0</v>
      </c>
      <c r="G225" s="7"/>
      <c r="H225" s="10"/>
      <c r="I225" s="2" t="str">
        <f t="shared" si="31"/>
        <v/>
      </c>
      <c r="J225" s="1" t="str">
        <f t="shared" ca="1" si="32"/>
        <v/>
      </c>
      <c r="K225" s="3" t="str">
        <f t="shared" ca="1" si="33"/>
        <v/>
      </c>
      <c r="L225" s="1">
        <f t="shared" si="34"/>
        <v>0</v>
      </c>
      <c r="M225" s="1">
        <f t="shared" si="35"/>
        <v>0</v>
      </c>
    </row>
    <row r="226" spans="1:13" x14ac:dyDescent="0.25">
      <c r="A226" s="1"/>
      <c r="B226" s="2"/>
      <c r="C226" s="1"/>
      <c r="D226" s="1"/>
      <c r="E226" s="7"/>
      <c r="F226" s="24">
        <f t="shared" si="30"/>
        <v>0</v>
      </c>
      <c r="G226" s="7"/>
      <c r="H226" s="10"/>
      <c r="I226" s="2" t="str">
        <f t="shared" si="31"/>
        <v/>
      </c>
      <c r="J226" s="1" t="str">
        <f t="shared" ca="1" si="32"/>
        <v/>
      </c>
      <c r="K226" s="3" t="str">
        <f t="shared" ca="1" si="33"/>
        <v/>
      </c>
      <c r="L226" s="1">
        <f t="shared" si="34"/>
        <v>0</v>
      </c>
      <c r="M226" s="1">
        <f t="shared" si="35"/>
        <v>0</v>
      </c>
    </row>
    <row r="227" spans="1:13" x14ac:dyDescent="0.25">
      <c r="A227" s="1"/>
      <c r="B227" s="2"/>
      <c r="C227" s="1"/>
      <c r="D227" s="1"/>
      <c r="E227" s="7"/>
      <c r="F227" s="24">
        <f t="shared" si="30"/>
        <v>0</v>
      </c>
      <c r="G227" s="7"/>
      <c r="H227" s="10"/>
      <c r="I227" s="2" t="str">
        <f t="shared" si="31"/>
        <v/>
      </c>
      <c r="J227" s="1" t="str">
        <f t="shared" ca="1" si="32"/>
        <v/>
      </c>
      <c r="K227" s="3" t="str">
        <f t="shared" ca="1" si="33"/>
        <v/>
      </c>
      <c r="L227" s="1">
        <f t="shared" si="34"/>
        <v>0</v>
      </c>
      <c r="M227" s="1">
        <f t="shared" si="35"/>
        <v>0</v>
      </c>
    </row>
    <row r="228" spans="1:13" x14ac:dyDescent="0.25">
      <c r="A228" s="1"/>
      <c r="B228" s="2"/>
      <c r="C228" s="1"/>
      <c r="D228" s="1"/>
      <c r="E228" s="7"/>
      <c r="F228" s="24">
        <f t="shared" si="30"/>
        <v>0</v>
      </c>
      <c r="G228" s="7"/>
      <c r="H228" s="10"/>
      <c r="I228" s="2" t="str">
        <f t="shared" si="31"/>
        <v/>
      </c>
      <c r="J228" s="1" t="str">
        <f t="shared" ca="1" si="32"/>
        <v/>
      </c>
      <c r="K228" s="3" t="str">
        <f t="shared" ca="1" si="33"/>
        <v/>
      </c>
      <c r="L228" s="1">
        <f t="shared" si="34"/>
        <v>0</v>
      </c>
      <c r="M228" s="1">
        <f t="shared" si="35"/>
        <v>0</v>
      </c>
    </row>
    <row r="229" spans="1:13" x14ac:dyDescent="0.25">
      <c r="A229" s="1"/>
      <c r="B229" s="2"/>
      <c r="C229" s="1"/>
      <c r="D229" s="1"/>
      <c r="E229" s="7"/>
      <c r="F229" s="24">
        <f t="shared" si="30"/>
        <v>0</v>
      </c>
      <c r="G229" s="7"/>
      <c r="H229" s="10"/>
      <c r="I229" s="2" t="str">
        <f t="shared" si="31"/>
        <v/>
      </c>
      <c r="J229" s="1" t="str">
        <f t="shared" ca="1" si="32"/>
        <v/>
      </c>
      <c r="K229" s="3" t="str">
        <f t="shared" ca="1" si="33"/>
        <v/>
      </c>
      <c r="L229" s="1">
        <f t="shared" si="34"/>
        <v>0</v>
      </c>
      <c r="M229" s="1">
        <f t="shared" si="35"/>
        <v>0</v>
      </c>
    </row>
    <row r="230" spans="1:13" x14ac:dyDescent="0.25">
      <c r="A230" s="1"/>
      <c r="B230" s="2"/>
      <c r="C230" s="1"/>
      <c r="D230" s="1"/>
      <c r="E230" s="7"/>
      <c r="F230" s="24">
        <f t="shared" si="30"/>
        <v>0</v>
      </c>
      <c r="G230" s="7"/>
      <c r="H230" s="10"/>
      <c r="I230" s="2" t="str">
        <f t="shared" si="31"/>
        <v/>
      </c>
      <c r="J230" s="1" t="str">
        <f t="shared" ca="1" si="32"/>
        <v/>
      </c>
      <c r="K230" s="3" t="str">
        <f t="shared" ca="1" si="33"/>
        <v/>
      </c>
      <c r="L230" s="1">
        <f t="shared" si="34"/>
        <v>0</v>
      </c>
      <c r="M230" s="1">
        <f t="shared" si="35"/>
        <v>0</v>
      </c>
    </row>
    <row r="231" spans="1:13" x14ac:dyDescent="0.25">
      <c r="A231" s="1"/>
      <c r="B231" s="2"/>
      <c r="C231" s="1"/>
      <c r="D231" s="1"/>
      <c r="E231" s="7"/>
      <c r="F231" s="24">
        <f t="shared" si="30"/>
        <v>0</v>
      </c>
      <c r="G231" s="7"/>
      <c r="H231" s="10"/>
      <c r="I231" s="2" t="str">
        <f t="shared" si="31"/>
        <v/>
      </c>
      <c r="J231" s="1" t="str">
        <f t="shared" ca="1" si="32"/>
        <v/>
      </c>
      <c r="K231" s="3" t="str">
        <f t="shared" ca="1" si="33"/>
        <v/>
      </c>
      <c r="L231" s="1">
        <f t="shared" si="34"/>
        <v>0</v>
      </c>
      <c r="M231" s="1">
        <f t="shared" si="35"/>
        <v>0</v>
      </c>
    </row>
    <row r="232" spans="1:13" x14ac:dyDescent="0.25">
      <c r="A232" s="1"/>
      <c r="B232" s="2"/>
      <c r="C232" s="1"/>
      <c r="D232" s="1"/>
      <c r="E232" s="7"/>
      <c r="F232" s="24">
        <f t="shared" si="30"/>
        <v>0</v>
      </c>
      <c r="G232" s="7"/>
      <c r="H232" s="10"/>
      <c r="I232" s="2" t="str">
        <f t="shared" si="31"/>
        <v/>
      </c>
      <c r="J232" s="1" t="str">
        <f t="shared" ca="1" si="32"/>
        <v/>
      </c>
      <c r="K232" s="3" t="str">
        <f t="shared" ca="1" si="33"/>
        <v/>
      </c>
      <c r="L232" s="1">
        <f t="shared" si="34"/>
        <v>0</v>
      </c>
      <c r="M232" s="1">
        <f t="shared" si="35"/>
        <v>0</v>
      </c>
    </row>
    <row r="233" spans="1:13" x14ac:dyDescent="0.25">
      <c r="A233" s="1"/>
      <c r="B233" s="2"/>
      <c r="C233" s="1"/>
      <c r="D233" s="1"/>
      <c r="E233" s="7"/>
      <c r="F233" s="24">
        <f t="shared" si="30"/>
        <v>0</v>
      </c>
      <c r="G233" s="7"/>
      <c r="H233" s="10"/>
      <c r="I233" s="2" t="str">
        <f t="shared" si="31"/>
        <v/>
      </c>
      <c r="J233" s="1" t="str">
        <f t="shared" ca="1" si="32"/>
        <v/>
      </c>
      <c r="K233" s="3" t="str">
        <f t="shared" ca="1" si="33"/>
        <v/>
      </c>
      <c r="L233" s="1">
        <f t="shared" si="34"/>
        <v>0</v>
      </c>
      <c r="M233" s="1">
        <f t="shared" si="35"/>
        <v>0</v>
      </c>
    </row>
  </sheetData>
  <conditionalFormatting sqref="K3:K233">
    <cfRule type="expression" dxfId="8" priority="1">
      <formula>$K3="VIGENTE"</formula>
    </cfRule>
    <cfRule type="expression" dxfId="7" priority="2">
      <formula>$K3="PRÓXIMO"</formula>
    </cfRule>
    <cfRule type="expression" dxfId="6" priority="3">
      <formula>$K3="VENCIDO"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M350"/>
  <sheetViews>
    <sheetView topLeftCell="A13" workbookViewId="0">
      <selection activeCell="I23" sqref="I23"/>
    </sheetView>
  </sheetViews>
  <sheetFormatPr baseColWidth="10" defaultColWidth="8.5703125" defaultRowHeight="15" x14ac:dyDescent="0.25"/>
  <cols>
    <col min="1" max="1" width="18.42578125" customWidth="1"/>
    <col min="2" max="2" width="8.85546875" customWidth="1"/>
    <col min="3" max="3" width="6.42578125" customWidth="1"/>
    <col min="4" max="4" width="3.42578125" customWidth="1"/>
    <col min="5" max="5" width="13.7109375" customWidth="1"/>
    <col min="6" max="6" width="13.85546875" customWidth="1"/>
    <col min="7" max="7" width="14.5703125" customWidth="1"/>
    <col min="8" max="8" width="14" customWidth="1"/>
    <col min="9" max="9" width="9.42578125" customWidth="1"/>
    <col min="10" max="10" width="4" customWidth="1"/>
    <col min="11" max="12" width="4.42578125" customWidth="1"/>
    <col min="13" max="13" width="5.425781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21.75" customHeight="1" x14ac:dyDescent="0.25">
      <c r="A2" s="5" t="s">
        <v>500</v>
      </c>
      <c r="B2" s="2">
        <v>46134</v>
      </c>
      <c r="C2" s="1"/>
      <c r="D2" s="1">
        <v>7</v>
      </c>
      <c r="E2" s="36">
        <v>35000</v>
      </c>
      <c r="F2" s="7">
        <f>G2-H2</f>
        <v>490000</v>
      </c>
      <c r="G2" s="7">
        <v>560000</v>
      </c>
      <c r="H2" s="7">
        <v>70000</v>
      </c>
      <c r="I2" s="2">
        <f>IF(F2=0,"",IF(C2="CRED",B2+(INT((G2-F2)/E2)+1)*D2,B2+INT((G2-F2)/E2)*D2))</f>
        <v>46148</v>
      </c>
      <c r="J2" s="1">
        <f ca="1">IF(I2="","",I2-TODAY())</f>
        <v>-1</v>
      </c>
      <c r="K2" s="3" t="str">
        <f ca="1">IF(J2="","",IF(J2&lt;0,"VENCIDO",IF(J2&lt;=1,"PRÓXIMO","VIGENTE")))</f>
        <v>VENCIDO</v>
      </c>
      <c r="L2" s="1">
        <f>IF(F2=G2,0,INT((G2-F2)/E2))</f>
        <v>2</v>
      </c>
      <c r="M2" s="1">
        <f>IF(F2=0,0,INT(F2/E2)+(IF(MOD(F2,E2)&gt;0,1,0)))</f>
        <v>14</v>
      </c>
    </row>
    <row r="3" spans="1:13" ht="18" customHeight="1" x14ac:dyDescent="0.25">
      <c r="A3" s="1" t="s">
        <v>501</v>
      </c>
      <c r="B3" s="2">
        <v>46134</v>
      </c>
      <c r="C3" s="1"/>
      <c r="D3" s="1">
        <v>7</v>
      </c>
      <c r="E3" s="7">
        <v>40000</v>
      </c>
      <c r="F3" s="7">
        <f t="shared" ref="F3:F65" si="0">G3-H3</f>
        <v>680000</v>
      </c>
      <c r="G3" s="7">
        <v>800000</v>
      </c>
      <c r="H3" s="7">
        <v>120000</v>
      </c>
      <c r="I3" s="2">
        <f t="shared" ref="I3:I65" si="1">IF(F3=0,"",IF(C3="CRED",B3+(INT((G3-F3)/E3)+1)*D3,B3+INT((G3-F3)/E3)*D3))</f>
        <v>46155</v>
      </c>
      <c r="J3" s="1">
        <f t="shared" ref="J3:J65" ca="1" si="2">IF(I3="","",I3-TODAY())</f>
        <v>6</v>
      </c>
      <c r="K3" s="3" t="str">
        <f t="shared" ref="K3:K65" ca="1" si="3">IF(J3="","",IF(J3&lt;0,"VENCIDO",IF(J3&lt;=1,"PRÓXIMO","VIGENTE")))</f>
        <v>VIGENTE</v>
      </c>
      <c r="L3" s="1">
        <f t="shared" ref="L3:L65" si="4">IF(F3=G3,0,INT((G3-F3)/E3))</f>
        <v>3</v>
      </c>
      <c r="M3" s="1">
        <f t="shared" ref="M3:M65" si="5">IF(F3=0,0,INT(F3/E3)+(IF(MOD(F3,E3)&gt;0,1,0)))</f>
        <v>17</v>
      </c>
    </row>
    <row r="4" spans="1:13" ht="17.25" customHeight="1" x14ac:dyDescent="0.25">
      <c r="A4" s="1" t="s">
        <v>505</v>
      </c>
      <c r="B4" s="2">
        <v>46134</v>
      </c>
      <c r="C4" s="1"/>
      <c r="D4" s="1">
        <v>7</v>
      </c>
      <c r="E4" s="7">
        <v>14000</v>
      </c>
      <c r="F4" s="7">
        <f t="shared" si="0"/>
        <v>70000</v>
      </c>
      <c r="G4" s="7">
        <v>112000</v>
      </c>
      <c r="H4" s="7">
        <v>42000</v>
      </c>
      <c r="I4" s="2">
        <f t="shared" si="1"/>
        <v>46155</v>
      </c>
      <c r="J4" s="1">
        <f t="shared" ca="1" si="2"/>
        <v>6</v>
      </c>
      <c r="K4" s="3" t="str">
        <f t="shared" ca="1" si="3"/>
        <v>VIGENTE</v>
      </c>
      <c r="L4" s="1">
        <f t="shared" si="4"/>
        <v>3</v>
      </c>
      <c r="M4" s="1">
        <f t="shared" si="5"/>
        <v>5</v>
      </c>
    </row>
    <row r="5" spans="1:13" ht="20.25" customHeight="1" x14ac:dyDescent="0.3">
      <c r="A5" s="1" t="s">
        <v>514</v>
      </c>
      <c r="B5" s="2">
        <v>46137</v>
      </c>
      <c r="C5" s="1"/>
      <c r="D5" s="1">
        <v>7</v>
      </c>
      <c r="E5" s="37">
        <v>30000</v>
      </c>
      <c r="F5" s="7">
        <f t="shared" si="0"/>
        <v>540000</v>
      </c>
      <c r="G5" s="7">
        <v>600000</v>
      </c>
      <c r="H5" s="7">
        <v>60000</v>
      </c>
      <c r="I5" s="2">
        <f t="shared" si="1"/>
        <v>46151</v>
      </c>
      <c r="J5" s="1">
        <f t="shared" ca="1" si="2"/>
        <v>2</v>
      </c>
      <c r="K5" s="3" t="str">
        <f t="shared" ca="1" si="3"/>
        <v>VIGENTE</v>
      </c>
      <c r="L5" s="1">
        <f t="shared" si="4"/>
        <v>2</v>
      </c>
      <c r="M5" s="1">
        <f t="shared" si="5"/>
        <v>18</v>
      </c>
    </row>
    <row r="6" spans="1:13" ht="18.75" customHeight="1" x14ac:dyDescent="0.25">
      <c r="A6" s="1" t="s">
        <v>523</v>
      </c>
      <c r="B6" s="2">
        <v>46137</v>
      </c>
      <c r="C6" s="1"/>
      <c r="D6" s="1">
        <v>7</v>
      </c>
      <c r="E6" s="7">
        <v>16000</v>
      </c>
      <c r="F6" s="7">
        <f t="shared" si="0"/>
        <v>80000</v>
      </c>
      <c r="G6" s="7">
        <v>112000</v>
      </c>
      <c r="H6" s="7">
        <v>32000</v>
      </c>
      <c r="I6" s="2">
        <f t="shared" si="1"/>
        <v>46151</v>
      </c>
      <c r="J6" s="1">
        <f t="shared" ca="1" si="2"/>
        <v>2</v>
      </c>
      <c r="K6" s="3" t="str">
        <f t="shared" ca="1" si="3"/>
        <v>VIGENTE</v>
      </c>
      <c r="L6" s="1">
        <f t="shared" si="4"/>
        <v>2</v>
      </c>
      <c r="M6" s="1">
        <f t="shared" si="5"/>
        <v>5</v>
      </c>
    </row>
    <row r="7" spans="1:13" ht="19.5" customHeight="1" x14ac:dyDescent="0.25">
      <c r="A7" s="1" t="s">
        <v>525</v>
      </c>
      <c r="B7" s="2">
        <v>46137</v>
      </c>
      <c r="C7" s="1"/>
      <c r="D7" s="1">
        <v>7</v>
      </c>
      <c r="E7" s="7">
        <v>13000</v>
      </c>
      <c r="F7" s="7">
        <f t="shared" si="0"/>
        <v>52000</v>
      </c>
      <c r="G7" s="7">
        <v>78000</v>
      </c>
      <c r="H7" s="7">
        <v>26000</v>
      </c>
      <c r="I7" s="2">
        <f t="shared" si="1"/>
        <v>46151</v>
      </c>
      <c r="J7" s="1">
        <f t="shared" ca="1" si="2"/>
        <v>2</v>
      </c>
      <c r="K7" s="3" t="str">
        <f t="shared" ca="1" si="3"/>
        <v>VIGENTE</v>
      </c>
      <c r="L7" s="1">
        <f t="shared" si="4"/>
        <v>2</v>
      </c>
      <c r="M7" s="1">
        <f t="shared" si="5"/>
        <v>4</v>
      </c>
    </row>
    <row r="8" spans="1:13" ht="21.75" customHeight="1" x14ac:dyDescent="0.25">
      <c r="A8" s="1" t="s">
        <v>526</v>
      </c>
      <c r="B8" s="2">
        <v>46137</v>
      </c>
      <c r="C8" s="1"/>
      <c r="D8" s="1">
        <v>7</v>
      </c>
      <c r="E8" s="7">
        <v>12000</v>
      </c>
      <c r="F8" s="7">
        <f t="shared" si="0"/>
        <v>48000</v>
      </c>
      <c r="G8" s="7">
        <v>72000</v>
      </c>
      <c r="H8" s="7">
        <v>24000</v>
      </c>
      <c r="I8" s="2">
        <f t="shared" si="1"/>
        <v>46151</v>
      </c>
      <c r="J8" s="1">
        <f t="shared" ca="1" si="2"/>
        <v>2</v>
      </c>
      <c r="K8" s="3" t="str">
        <f t="shared" ca="1" si="3"/>
        <v>VIGENTE</v>
      </c>
      <c r="L8" s="1">
        <f t="shared" si="4"/>
        <v>2</v>
      </c>
      <c r="M8" s="1">
        <f t="shared" si="5"/>
        <v>4</v>
      </c>
    </row>
    <row r="9" spans="1:13" ht="20.25" customHeight="1" x14ac:dyDescent="0.25">
      <c r="A9" s="1" t="s">
        <v>538</v>
      </c>
      <c r="B9" s="2">
        <v>46137</v>
      </c>
      <c r="C9" s="1"/>
      <c r="D9" s="1">
        <v>7</v>
      </c>
      <c r="E9" s="7">
        <v>14000</v>
      </c>
      <c r="F9" s="7">
        <f t="shared" si="0"/>
        <v>84000</v>
      </c>
      <c r="G9" s="7">
        <v>112000</v>
      </c>
      <c r="H9" s="7">
        <v>28000</v>
      </c>
      <c r="I9" s="2">
        <f t="shared" si="1"/>
        <v>46151</v>
      </c>
      <c r="J9" s="1">
        <f t="shared" ca="1" si="2"/>
        <v>2</v>
      </c>
      <c r="K9" s="3" t="str">
        <f t="shared" ca="1" si="3"/>
        <v>VIGENTE</v>
      </c>
      <c r="L9" s="1">
        <f t="shared" si="4"/>
        <v>2</v>
      </c>
      <c r="M9" s="1">
        <f t="shared" si="5"/>
        <v>6</v>
      </c>
    </row>
    <row r="10" spans="1:13" ht="17.25" customHeight="1" x14ac:dyDescent="0.25">
      <c r="A10" s="1" t="s">
        <v>538</v>
      </c>
      <c r="B10" s="2">
        <v>46137</v>
      </c>
      <c r="C10" s="1"/>
      <c r="D10" s="1">
        <v>7</v>
      </c>
      <c r="E10" s="7">
        <v>21000</v>
      </c>
      <c r="F10" s="7">
        <f t="shared" si="0"/>
        <v>168000</v>
      </c>
      <c r="G10" s="7">
        <v>210000</v>
      </c>
      <c r="H10" s="7">
        <v>42000</v>
      </c>
      <c r="I10" s="2">
        <f t="shared" si="1"/>
        <v>46151</v>
      </c>
      <c r="J10" s="1">
        <f t="shared" ca="1" si="2"/>
        <v>2</v>
      </c>
      <c r="K10" s="3" t="str">
        <f t="shared" ca="1" si="3"/>
        <v>VIGENTE</v>
      </c>
      <c r="L10" s="1">
        <f t="shared" si="4"/>
        <v>2</v>
      </c>
      <c r="M10" s="1">
        <f t="shared" si="5"/>
        <v>8</v>
      </c>
    </row>
    <row r="11" spans="1:13" ht="26.25" customHeight="1" x14ac:dyDescent="0.25">
      <c r="A11" s="1" t="s">
        <v>544</v>
      </c>
      <c r="B11" s="2">
        <v>46140</v>
      </c>
      <c r="C11" s="1"/>
      <c r="D11" s="1">
        <v>7</v>
      </c>
      <c r="E11" s="7">
        <v>30000</v>
      </c>
      <c r="F11" s="7">
        <f t="shared" si="0"/>
        <v>420000</v>
      </c>
      <c r="G11" s="7">
        <v>450000</v>
      </c>
      <c r="H11" s="7">
        <v>30000</v>
      </c>
      <c r="I11" s="2">
        <f t="shared" si="1"/>
        <v>46147</v>
      </c>
      <c r="J11" s="1">
        <f t="shared" ca="1" si="2"/>
        <v>-2</v>
      </c>
      <c r="K11" s="3" t="str">
        <f t="shared" ca="1" si="3"/>
        <v>VENCIDO</v>
      </c>
      <c r="L11" s="1">
        <f t="shared" si="4"/>
        <v>1</v>
      </c>
      <c r="M11" s="1">
        <f t="shared" si="5"/>
        <v>14</v>
      </c>
    </row>
    <row r="12" spans="1:13" ht="17.25" customHeight="1" x14ac:dyDescent="0.25">
      <c r="A12" s="1" t="s">
        <v>552</v>
      </c>
      <c r="B12" s="2">
        <v>46141</v>
      </c>
      <c r="C12" s="1"/>
      <c r="D12" s="1">
        <v>7</v>
      </c>
      <c r="E12" s="7">
        <v>20000</v>
      </c>
      <c r="F12" s="7">
        <f t="shared" si="0"/>
        <v>220000</v>
      </c>
      <c r="G12" s="7">
        <v>240000</v>
      </c>
      <c r="H12" s="7">
        <v>20000</v>
      </c>
      <c r="I12" s="2">
        <f t="shared" si="1"/>
        <v>46148</v>
      </c>
      <c r="J12" s="1">
        <f t="shared" ca="1" si="2"/>
        <v>-1</v>
      </c>
      <c r="K12" s="3" t="str">
        <f t="shared" ca="1" si="3"/>
        <v>VENCIDO</v>
      </c>
      <c r="L12" s="1">
        <f t="shared" si="4"/>
        <v>1</v>
      </c>
      <c r="M12" s="1">
        <f t="shared" si="5"/>
        <v>11</v>
      </c>
    </row>
    <row r="13" spans="1:13" ht="19.5" customHeight="1" x14ac:dyDescent="0.25">
      <c r="A13" s="1" t="s">
        <v>563</v>
      </c>
      <c r="B13" s="2">
        <v>46152</v>
      </c>
      <c r="C13" s="1"/>
      <c r="D13" s="1">
        <v>1</v>
      </c>
      <c r="E13" s="7">
        <v>25000</v>
      </c>
      <c r="F13" s="7">
        <f t="shared" si="0"/>
        <v>25000</v>
      </c>
      <c r="G13" s="7">
        <v>25000</v>
      </c>
      <c r="H13" s="7"/>
      <c r="I13" s="2">
        <f t="shared" si="1"/>
        <v>46152</v>
      </c>
      <c r="J13" s="1">
        <f t="shared" ca="1" si="2"/>
        <v>3</v>
      </c>
      <c r="K13" s="3" t="str">
        <f t="shared" ca="1" si="3"/>
        <v>VIGENTE</v>
      </c>
      <c r="L13" s="1">
        <f t="shared" si="4"/>
        <v>0</v>
      </c>
      <c r="M13" s="1">
        <f t="shared" si="5"/>
        <v>1</v>
      </c>
    </row>
    <row r="14" spans="1:13" ht="19.5" customHeight="1" x14ac:dyDescent="0.25">
      <c r="A14" s="1" t="s">
        <v>565</v>
      </c>
      <c r="B14" s="2">
        <v>46143</v>
      </c>
      <c r="C14" s="1"/>
      <c r="D14" s="1">
        <v>7</v>
      </c>
      <c r="E14" s="7">
        <v>25000</v>
      </c>
      <c r="F14" s="7">
        <f t="shared" si="0"/>
        <v>275000</v>
      </c>
      <c r="G14" s="7">
        <v>300000</v>
      </c>
      <c r="H14" s="7">
        <v>25000</v>
      </c>
      <c r="I14" s="2">
        <f t="shared" si="1"/>
        <v>46150</v>
      </c>
      <c r="J14" s="1">
        <f t="shared" ca="1" si="2"/>
        <v>1</v>
      </c>
      <c r="K14" s="3" t="str">
        <f t="shared" ca="1" si="3"/>
        <v>PRÓXIMO</v>
      </c>
      <c r="L14" s="1">
        <f t="shared" si="4"/>
        <v>1</v>
      </c>
      <c r="M14" s="1">
        <f t="shared" si="5"/>
        <v>11</v>
      </c>
    </row>
    <row r="15" spans="1:13" ht="22.5" customHeight="1" x14ac:dyDescent="0.25">
      <c r="A15" s="1" t="s">
        <v>566</v>
      </c>
      <c r="B15" s="2">
        <v>46143</v>
      </c>
      <c r="C15" s="1"/>
      <c r="D15" s="1">
        <v>7</v>
      </c>
      <c r="E15" s="7">
        <v>30000</v>
      </c>
      <c r="F15" s="7">
        <f t="shared" si="0"/>
        <v>570000</v>
      </c>
      <c r="G15" s="7">
        <v>600000</v>
      </c>
      <c r="H15" s="7">
        <v>30000</v>
      </c>
      <c r="I15" s="2">
        <f t="shared" si="1"/>
        <v>46150</v>
      </c>
      <c r="J15" s="1">
        <f t="shared" ca="1" si="2"/>
        <v>1</v>
      </c>
      <c r="K15" s="3" t="str">
        <f t="shared" ca="1" si="3"/>
        <v>PRÓXIMO</v>
      </c>
      <c r="L15" s="1">
        <f t="shared" si="4"/>
        <v>1</v>
      </c>
      <c r="M15" s="1">
        <f t="shared" si="5"/>
        <v>19</v>
      </c>
    </row>
    <row r="16" spans="1:13" ht="21.75" customHeight="1" x14ac:dyDescent="0.25">
      <c r="A16" s="1" t="s">
        <v>572</v>
      </c>
      <c r="B16" s="2">
        <v>46144</v>
      </c>
      <c r="C16" s="1" t="s">
        <v>13</v>
      </c>
      <c r="D16" s="1">
        <v>7</v>
      </c>
      <c r="E16" s="7">
        <v>32000</v>
      </c>
      <c r="F16" s="7">
        <f t="shared" si="0"/>
        <v>192000</v>
      </c>
      <c r="G16" s="7">
        <v>192000</v>
      </c>
      <c r="H16" s="7"/>
      <c r="I16" s="2">
        <f t="shared" si="1"/>
        <v>46151</v>
      </c>
      <c r="J16" s="1">
        <f t="shared" ca="1" si="2"/>
        <v>2</v>
      </c>
      <c r="K16" s="3" t="str">
        <f t="shared" ca="1" si="3"/>
        <v>VIGENTE</v>
      </c>
      <c r="L16" s="1">
        <f t="shared" si="4"/>
        <v>0</v>
      </c>
      <c r="M16" s="1">
        <f t="shared" si="5"/>
        <v>6</v>
      </c>
    </row>
    <row r="17" spans="1:13" ht="16.5" customHeight="1" x14ac:dyDescent="0.25">
      <c r="A17" s="1" t="s">
        <v>573</v>
      </c>
      <c r="B17" s="2">
        <v>46144</v>
      </c>
      <c r="C17" s="1"/>
      <c r="D17" s="1">
        <v>7</v>
      </c>
      <c r="E17" s="7">
        <v>43000</v>
      </c>
      <c r="F17" s="7">
        <f t="shared" si="0"/>
        <v>1032000</v>
      </c>
      <c r="G17" s="7">
        <v>1032000</v>
      </c>
      <c r="H17" s="7"/>
      <c r="I17" s="2">
        <f t="shared" si="1"/>
        <v>46144</v>
      </c>
      <c r="J17" s="1">
        <f t="shared" ca="1" si="2"/>
        <v>-5</v>
      </c>
      <c r="K17" s="3" t="str">
        <f t="shared" ca="1" si="3"/>
        <v>VENCIDO</v>
      </c>
      <c r="L17" s="1">
        <f t="shared" si="4"/>
        <v>0</v>
      </c>
      <c r="M17" s="1">
        <f t="shared" si="5"/>
        <v>24</v>
      </c>
    </row>
    <row r="18" spans="1:13" ht="15" customHeight="1" x14ac:dyDescent="0.25">
      <c r="A18" s="1" t="s">
        <v>580</v>
      </c>
      <c r="B18" s="2">
        <v>46146</v>
      </c>
      <c r="C18" s="1"/>
      <c r="D18" s="1">
        <v>15</v>
      </c>
      <c r="E18" s="7">
        <v>100000</v>
      </c>
      <c r="F18" s="7">
        <f t="shared" si="0"/>
        <v>1100000</v>
      </c>
      <c r="G18" s="7">
        <v>1100000</v>
      </c>
      <c r="H18" s="7"/>
      <c r="I18" s="2">
        <f t="shared" si="1"/>
        <v>46146</v>
      </c>
      <c r="J18" s="1">
        <f t="shared" ca="1" si="2"/>
        <v>-3</v>
      </c>
      <c r="K18" s="3" t="str">
        <f t="shared" ca="1" si="3"/>
        <v>VENCIDO</v>
      </c>
      <c r="L18" s="1">
        <f t="shared" si="4"/>
        <v>0</v>
      </c>
      <c r="M18" s="1">
        <f t="shared" si="5"/>
        <v>11</v>
      </c>
    </row>
    <row r="19" spans="1:13" ht="18" customHeight="1" x14ac:dyDescent="0.25">
      <c r="A19" s="1" t="s">
        <v>585</v>
      </c>
      <c r="B19" s="2">
        <v>46146</v>
      </c>
      <c r="C19" s="1"/>
      <c r="D19" s="1">
        <v>7</v>
      </c>
      <c r="E19" s="7">
        <v>35000</v>
      </c>
      <c r="F19" s="7">
        <f t="shared" si="0"/>
        <v>350000</v>
      </c>
      <c r="G19" s="7">
        <v>350000</v>
      </c>
      <c r="H19" s="7"/>
      <c r="I19" s="2">
        <f t="shared" si="1"/>
        <v>46146</v>
      </c>
      <c r="J19" s="1">
        <f t="shared" ca="1" si="2"/>
        <v>-3</v>
      </c>
      <c r="K19" s="3" t="str">
        <f t="shared" ca="1" si="3"/>
        <v>VENCIDO</v>
      </c>
      <c r="L19" s="1">
        <f t="shared" si="4"/>
        <v>0</v>
      </c>
      <c r="M19" s="1">
        <f t="shared" si="5"/>
        <v>10</v>
      </c>
    </row>
    <row r="20" spans="1:13" ht="15" customHeight="1" x14ac:dyDescent="0.25">
      <c r="A20" s="1" t="s">
        <v>594</v>
      </c>
      <c r="B20" s="2">
        <v>46151</v>
      </c>
      <c r="C20" s="1"/>
      <c r="D20" s="1">
        <v>1</v>
      </c>
      <c r="E20" s="7">
        <v>72000</v>
      </c>
      <c r="F20" s="7">
        <f t="shared" si="0"/>
        <v>72000</v>
      </c>
      <c r="G20" s="7">
        <v>72000</v>
      </c>
      <c r="H20" s="7"/>
      <c r="I20" s="2">
        <f t="shared" si="1"/>
        <v>46151</v>
      </c>
      <c r="J20" s="1">
        <f t="shared" ca="1" si="2"/>
        <v>2</v>
      </c>
      <c r="K20" s="3" t="str">
        <f t="shared" ca="1" si="3"/>
        <v>VIGENTE</v>
      </c>
      <c r="L20" s="1">
        <f t="shared" si="4"/>
        <v>0</v>
      </c>
      <c r="M20" s="1">
        <f t="shared" si="5"/>
        <v>1</v>
      </c>
    </row>
    <row r="21" spans="1:13" ht="15.75" customHeight="1" x14ac:dyDescent="0.25">
      <c r="A21" s="1" t="s">
        <v>598</v>
      </c>
      <c r="B21" s="2">
        <v>46148</v>
      </c>
      <c r="C21" s="1"/>
      <c r="D21" s="1">
        <v>7</v>
      </c>
      <c r="E21" s="7">
        <v>35000</v>
      </c>
      <c r="F21" s="7">
        <f t="shared" si="0"/>
        <v>700000</v>
      </c>
      <c r="G21" s="7">
        <v>700000</v>
      </c>
      <c r="H21" s="7"/>
      <c r="I21" s="2">
        <f t="shared" si="1"/>
        <v>46148</v>
      </c>
      <c r="J21" s="1">
        <f t="shared" ca="1" si="2"/>
        <v>-1</v>
      </c>
      <c r="K21" s="3" t="str">
        <f t="shared" ca="1" si="3"/>
        <v>VENCIDO</v>
      </c>
      <c r="L21" s="1">
        <f t="shared" si="4"/>
        <v>0</v>
      </c>
      <c r="M21" s="1">
        <f t="shared" si="5"/>
        <v>20</v>
      </c>
    </row>
    <row r="22" spans="1:13" ht="18" customHeight="1" x14ac:dyDescent="0.25">
      <c r="A22" s="1" t="s">
        <v>599</v>
      </c>
      <c r="B22" s="2">
        <v>46148</v>
      </c>
      <c r="C22" s="1"/>
      <c r="D22" s="1">
        <v>7</v>
      </c>
      <c r="E22" s="7">
        <v>28000</v>
      </c>
      <c r="F22" s="7">
        <f t="shared" si="0"/>
        <v>308000</v>
      </c>
      <c r="G22" s="7">
        <v>336000</v>
      </c>
      <c r="H22" s="7">
        <v>28000</v>
      </c>
      <c r="I22" s="2">
        <f t="shared" si="1"/>
        <v>46155</v>
      </c>
      <c r="J22" s="1">
        <f t="shared" ca="1" si="2"/>
        <v>6</v>
      </c>
      <c r="K22" s="3" t="str">
        <f t="shared" ca="1" si="3"/>
        <v>VIGENTE</v>
      </c>
      <c r="L22" s="1">
        <f t="shared" si="4"/>
        <v>1</v>
      </c>
      <c r="M22" s="1">
        <f t="shared" si="5"/>
        <v>11</v>
      </c>
    </row>
    <row r="23" spans="1:13" ht="45" x14ac:dyDescent="0.25">
      <c r="A23" s="1" t="s">
        <v>602</v>
      </c>
      <c r="B23" s="2">
        <v>46148</v>
      </c>
      <c r="C23" s="1"/>
      <c r="D23" s="1">
        <v>7</v>
      </c>
      <c r="E23" s="7">
        <v>42000</v>
      </c>
      <c r="F23" s="7">
        <f t="shared" si="0"/>
        <v>798000</v>
      </c>
      <c r="G23" s="7">
        <v>840000</v>
      </c>
      <c r="H23" s="7">
        <v>42000</v>
      </c>
      <c r="I23" s="2">
        <f t="shared" si="1"/>
        <v>46155</v>
      </c>
      <c r="J23" s="1">
        <f t="shared" ca="1" si="2"/>
        <v>6</v>
      </c>
      <c r="K23" s="3" t="str">
        <f t="shared" ca="1" si="3"/>
        <v>VIGENTE</v>
      </c>
      <c r="L23" s="1">
        <f t="shared" si="4"/>
        <v>1</v>
      </c>
      <c r="M23" s="1">
        <f t="shared" si="5"/>
        <v>19</v>
      </c>
    </row>
    <row r="24" spans="1:13" x14ac:dyDescent="0.25">
      <c r="A24" s="1"/>
      <c r="B24" s="2"/>
      <c r="C24" s="1"/>
      <c r="D24" s="1"/>
      <c r="E24" s="7"/>
      <c r="F24" s="7">
        <f t="shared" si="0"/>
        <v>0</v>
      </c>
      <c r="G24" s="7"/>
      <c r="H24" s="7"/>
      <c r="I24" s="2" t="str">
        <f t="shared" si="1"/>
        <v/>
      </c>
      <c r="J24" s="1" t="str">
        <f t="shared" ca="1" si="2"/>
        <v/>
      </c>
      <c r="K24" s="3" t="str">
        <f t="shared" ca="1" si="3"/>
        <v/>
      </c>
      <c r="L24" s="1">
        <f t="shared" si="4"/>
        <v>0</v>
      </c>
      <c r="M24" s="1">
        <f t="shared" si="5"/>
        <v>0</v>
      </c>
    </row>
    <row r="25" spans="1:13" x14ac:dyDescent="0.25">
      <c r="A25" s="1"/>
      <c r="B25" s="2"/>
      <c r="C25" s="1"/>
      <c r="D25" s="1"/>
      <c r="E25" s="7"/>
      <c r="F25" s="7">
        <f t="shared" si="0"/>
        <v>0</v>
      </c>
      <c r="G25" s="7"/>
      <c r="H25" s="7"/>
      <c r="I25" s="2" t="str">
        <f t="shared" si="1"/>
        <v/>
      </c>
      <c r="J25" s="1" t="str">
        <f t="shared" ca="1" si="2"/>
        <v/>
      </c>
      <c r="K25" s="3" t="str">
        <f t="shared" ca="1" si="3"/>
        <v/>
      </c>
      <c r="L25" s="1">
        <f t="shared" si="4"/>
        <v>0</v>
      </c>
      <c r="M25" s="1">
        <f t="shared" si="5"/>
        <v>0</v>
      </c>
    </row>
    <row r="26" spans="1:13" x14ac:dyDescent="0.25">
      <c r="A26" s="1"/>
      <c r="B26" s="2"/>
      <c r="C26" s="1"/>
      <c r="D26" s="1"/>
      <c r="E26" s="7"/>
      <c r="F26" s="7">
        <f t="shared" si="0"/>
        <v>0</v>
      </c>
      <c r="G26" s="7"/>
      <c r="H26" s="7"/>
      <c r="I26" s="2" t="str">
        <f t="shared" si="1"/>
        <v/>
      </c>
      <c r="J26" s="1" t="str">
        <f t="shared" ca="1" si="2"/>
        <v/>
      </c>
      <c r="K26" s="3" t="str">
        <f t="shared" ca="1" si="3"/>
        <v/>
      </c>
      <c r="L26" s="1">
        <f t="shared" si="4"/>
        <v>0</v>
      </c>
      <c r="M26" s="1">
        <f t="shared" si="5"/>
        <v>0</v>
      </c>
    </row>
    <row r="27" spans="1:13" x14ac:dyDescent="0.25">
      <c r="A27" s="1"/>
      <c r="B27" s="2"/>
      <c r="C27" s="1"/>
      <c r="D27" s="1"/>
      <c r="E27" s="7"/>
      <c r="F27" s="7">
        <f t="shared" si="0"/>
        <v>0</v>
      </c>
      <c r="G27" s="7"/>
      <c r="H27" s="7"/>
      <c r="I27" s="2" t="str">
        <f t="shared" si="1"/>
        <v/>
      </c>
      <c r="J27" s="1" t="str">
        <f t="shared" ca="1" si="2"/>
        <v/>
      </c>
      <c r="K27" s="3" t="str">
        <f t="shared" ca="1" si="3"/>
        <v/>
      </c>
      <c r="L27" s="1">
        <f t="shared" si="4"/>
        <v>0</v>
      </c>
      <c r="M27" s="1">
        <f t="shared" si="5"/>
        <v>0</v>
      </c>
    </row>
    <row r="28" spans="1:13" x14ac:dyDescent="0.25">
      <c r="A28" s="1"/>
      <c r="B28" s="2"/>
      <c r="C28" s="1"/>
      <c r="D28" s="1"/>
      <c r="E28" s="7"/>
      <c r="F28" s="7">
        <f t="shared" si="0"/>
        <v>0</v>
      </c>
      <c r="G28" s="7"/>
      <c r="H28" s="7"/>
      <c r="I28" s="2" t="str">
        <f t="shared" si="1"/>
        <v/>
      </c>
      <c r="J28" s="1" t="str">
        <f t="shared" ca="1" si="2"/>
        <v/>
      </c>
      <c r="K28" s="3" t="str">
        <f t="shared" ca="1" si="3"/>
        <v/>
      </c>
      <c r="L28" s="1">
        <f t="shared" si="4"/>
        <v>0</v>
      </c>
      <c r="M28" s="1">
        <f t="shared" si="5"/>
        <v>0</v>
      </c>
    </row>
    <row r="29" spans="1:13" x14ac:dyDescent="0.25">
      <c r="A29" s="1"/>
      <c r="B29" s="2"/>
      <c r="C29" s="1"/>
      <c r="D29" s="1"/>
      <c r="E29" s="7"/>
      <c r="F29" s="7">
        <f t="shared" si="0"/>
        <v>0</v>
      </c>
      <c r="G29" s="7"/>
      <c r="H29" s="7"/>
      <c r="I29" s="2" t="str">
        <f t="shared" si="1"/>
        <v/>
      </c>
      <c r="J29" s="1" t="str">
        <f t="shared" ca="1" si="2"/>
        <v/>
      </c>
      <c r="K29" s="3" t="str">
        <f t="shared" ca="1" si="3"/>
        <v/>
      </c>
      <c r="L29" s="1">
        <f t="shared" si="4"/>
        <v>0</v>
      </c>
      <c r="M29" s="1">
        <f t="shared" si="5"/>
        <v>0</v>
      </c>
    </row>
    <row r="30" spans="1:13" x14ac:dyDescent="0.25">
      <c r="A30" s="1"/>
      <c r="B30" s="2"/>
      <c r="C30" s="1"/>
      <c r="D30" s="1"/>
      <c r="E30" s="7"/>
      <c r="F30" s="7">
        <f t="shared" si="0"/>
        <v>0</v>
      </c>
      <c r="G30" s="7"/>
      <c r="H30" s="7"/>
      <c r="I30" s="2" t="str">
        <f t="shared" si="1"/>
        <v/>
      </c>
      <c r="J30" s="1" t="str">
        <f t="shared" ca="1" si="2"/>
        <v/>
      </c>
      <c r="K30" s="3" t="str">
        <f t="shared" ca="1" si="3"/>
        <v/>
      </c>
      <c r="L30" s="1">
        <f t="shared" si="4"/>
        <v>0</v>
      </c>
      <c r="M30" s="1">
        <f t="shared" si="5"/>
        <v>0</v>
      </c>
    </row>
    <row r="31" spans="1:13" x14ac:dyDescent="0.25">
      <c r="A31" s="1"/>
      <c r="B31" s="2"/>
      <c r="C31" s="1"/>
      <c r="D31" s="1"/>
      <c r="E31" s="7"/>
      <c r="F31" s="7">
        <f t="shared" si="0"/>
        <v>0</v>
      </c>
      <c r="G31" s="7"/>
      <c r="H31" s="7"/>
      <c r="I31" s="2" t="str">
        <f t="shared" si="1"/>
        <v/>
      </c>
      <c r="J31" s="1" t="str">
        <f t="shared" ca="1" si="2"/>
        <v/>
      </c>
      <c r="K31" s="3" t="str">
        <f t="shared" ca="1" si="3"/>
        <v/>
      </c>
      <c r="L31" s="1">
        <f t="shared" si="4"/>
        <v>0</v>
      </c>
      <c r="M31" s="1">
        <f t="shared" si="5"/>
        <v>0</v>
      </c>
    </row>
    <row r="32" spans="1:13" x14ac:dyDescent="0.25">
      <c r="A32" s="1"/>
      <c r="B32" s="2"/>
      <c r="C32" s="1"/>
      <c r="D32" s="1"/>
      <c r="E32" s="7"/>
      <c r="F32" s="7">
        <f t="shared" si="0"/>
        <v>0</v>
      </c>
      <c r="G32" s="7"/>
      <c r="H32" s="7"/>
      <c r="I32" s="2" t="str">
        <f t="shared" si="1"/>
        <v/>
      </c>
      <c r="J32" s="1" t="str">
        <f t="shared" ca="1" si="2"/>
        <v/>
      </c>
      <c r="K32" s="3" t="str">
        <f t="shared" ca="1" si="3"/>
        <v/>
      </c>
      <c r="L32" s="1">
        <f t="shared" si="4"/>
        <v>0</v>
      </c>
      <c r="M32" s="1">
        <f t="shared" si="5"/>
        <v>0</v>
      </c>
    </row>
    <row r="33" spans="1:13" x14ac:dyDescent="0.25">
      <c r="A33" s="1"/>
      <c r="B33" s="2"/>
      <c r="C33" s="1"/>
      <c r="D33" s="1"/>
      <c r="E33" s="7"/>
      <c r="F33" s="7">
        <f t="shared" si="0"/>
        <v>0</v>
      </c>
      <c r="G33" s="7"/>
      <c r="H33" s="7"/>
      <c r="I33" s="2" t="str">
        <f t="shared" si="1"/>
        <v/>
      </c>
      <c r="J33" s="1" t="str">
        <f t="shared" ca="1" si="2"/>
        <v/>
      </c>
      <c r="K33" s="3" t="str">
        <f t="shared" ca="1" si="3"/>
        <v/>
      </c>
      <c r="L33" s="1">
        <f t="shared" si="4"/>
        <v>0</v>
      </c>
      <c r="M33" s="1">
        <f t="shared" si="5"/>
        <v>0</v>
      </c>
    </row>
    <row r="34" spans="1:13" x14ac:dyDescent="0.25">
      <c r="A34" s="1"/>
      <c r="B34" s="2"/>
      <c r="C34" s="1"/>
      <c r="D34" s="1"/>
      <c r="E34" s="7"/>
      <c r="F34" s="7">
        <f t="shared" si="0"/>
        <v>0</v>
      </c>
      <c r="G34" s="7"/>
      <c r="H34" s="7"/>
      <c r="I34" s="2" t="str">
        <f t="shared" si="1"/>
        <v/>
      </c>
      <c r="J34" s="1" t="str">
        <f t="shared" ca="1" si="2"/>
        <v/>
      </c>
      <c r="K34" s="3" t="str">
        <f t="shared" ca="1" si="3"/>
        <v/>
      </c>
      <c r="L34" s="1">
        <f t="shared" si="4"/>
        <v>0</v>
      </c>
      <c r="M34" s="1">
        <f t="shared" si="5"/>
        <v>0</v>
      </c>
    </row>
    <row r="35" spans="1:13" x14ac:dyDescent="0.25">
      <c r="A35" s="1"/>
      <c r="B35" s="2"/>
      <c r="C35" s="1"/>
      <c r="D35" s="1"/>
      <c r="E35" s="7"/>
      <c r="F35" s="7">
        <f t="shared" si="0"/>
        <v>0</v>
      </c>
      <c r="G35" s="7"/>
      <c r="H35" s="7"/>
      <c r="I35" s="2" t="str">
        <f t="shared" si="1"/>
        <v/>
      </c>
      <c r="J35" s="1" t="str">
        <f t="shared" ca="1" si="2"/>
        <v/>
      </c>
      <c r="K35" s="3" t="str">
        <f t="shared" ca="1" si="3"/>
        <v/>
      </c>
      <c r="L35" s="1">
        <f t="shared" si="4"/>
        <v>0</v>
      </c>
      <c r="M35" s="1">
        <f t="shared" si="5"/>
        <v>0</v>
      </c>
    </row>
    <row r="36" spans="1:13" x14ac:dyDescent="0.25">
      <c r="A36" s="1"/>
      <c r="B36" s="2"/>
      <c r="C36" s="1"/>
      <c r="D36" s="1"/>
      <c r="E36" s="7"/>
      <c r="F36" s="7">
        <f t="shared" si="0"/>
        <v>0</v>
      </c>
      <c r="G36" s="7"/>
      <c r="H36" s="7"/>
      <c r="I36" s="2" t="str">
        <f t="shared" si="1"/>
        <v/>
      </c>
      <c r="J36" s="1" t="str">
        <f t="shared" ca="1" si="2"/>
        <v/>
      </c>
      <c r="K36" s="3" t="str">
        <f t="shared" ca="1" si="3"/>
        <v/>
      </c>
      <c r="L36" s="1">
        <f t="shared" si="4"/>
        <v>0</v>
      </c>
      <c r="M36" s="1">
        <f t="shared" si="5"/>
        <v>0</v>
      </c>
    </row>
    <row r="37" spans="1:13" x14ac:dyDescent="0.25">
      <c r="A37" s="1"/>
      <c r="B37" s="2"/>
      <c r="C37" s="1"/>
      <c r="D37" s="1"/>
      <c r="E37" s="7"/>
      <c r="F37" s="7">
        <f t="shared" si="0"/>
        <v>0</v>
      </c>
      <c r="G37" s="7"/>
      <c r="H37" s="7"/>
      <c r="I37" s="2" t="str">
        <f t="shared" si="1"/>
        <v/>
      </c>
      <c r="J37" s="1" t="str">
        <f t="shared" ca="1" si="2"/>
        <v/>
      </c>
      <c r="K37" s="3" t="str">
        <f t="shared" ca="1" si="3"/>
        <v/>
      </c>
      <c r="L37" s="1">
        <f t="shared" si="4"/>
        <v>0</v>
      </c>
      <c r="M37" s="1">
        <f t="shared" si="5"/>
        <v>0</v>
      </c>
    </row>
    <row r="38" spans="1:13" x14ac:dyDescent="0.25">
      <c r="A38" s="1"/>
      <c r="B38" s="2"/>
      <c r="C38" s="1"/>
      <c r="D38" s="1"/>
      <c r="E38" s="7"/>
      <c r="F38" s="7">
        <f t="shared" si="0"/>
        <v>0</v>
      </c>
      <c r="G38" s="7"/>
      <c r="H38" s="7"/>
      <c r="I38" s="2" t="str">
        <f t="shared" si="1"/>
        <v/>
      </c>
      <c r="J38" s="1" t="str">
        <f t="shared" ca="1" si="2"/>
        <v/>
      </c>
      <c r="K38" s="3" t="str">
        <f t="shared" ca="1" si="3"/>
        <v/>
      </c>
      <c r="L38" s="1">
        <f t="shared" si="4"/>
        <v>0</v>
      </c>
      <c r="M38" s="1">
        <f t="shared" si="5"/>
        <v>0</v>
      </c>
    </row>
    <row r="39" spans="1:13" x14ac:dyDescent="0.25">
      <c r="A39" s="1"/>
      <c r="B39" s="2"/>
      <c r="C39" s="1"/>
      <c r="D39" s="1"/>
      <c r="E39" s="7"/>
      <c r="F39" s="7">
        <f t="shared" si="0"/>
        <v>0</v>
      </c>
      <c r="G39" s="7"/>
      <c r="H39" s="7"/>
      <c r="I39" s="2" t="str">
        <f t="shared" si="1"/>
        <v/>
      </c>
      <c r="J39" s="1" t="str">
        <f t="shared" ca="1" si="2"/>
        <v/>
      </c>
      <c r="K39" s="3" t="str">
        <f t="shared" ca="1" si="3"/>
        <v/>
      </c>
      <c r="L39" s="1">
        <f t="shared" si="4"/>
        <v>0</v>
      </c>
      <c r="M39" s="1">
        <f t="shared" si="5"/>
        <v>0</v>
      </c>
    </row>
    <row r="40" spans="1:13" x14ac:dyDescent="0.25">
      <c r="A40" s="1"/>
      <c r="B40" s="2"/>
      <c r="C40" s="1"/>
      <c r="D40" s="1"/>
      <c r="E40" s="7"/>
      <c r="F40" s="7">
        <f t="shared" si="0"/>
        <v>0</v>
      </c>
      <c r="G40" s="7"/>
      <c r="H40" s="7"/>
      <c r="I40" s="2" t="str">
        <f t="shared" si="1"/>
        <v/>
      </c>
      <c r="J40" s="1" t="str">
        <f t="shared" ca="1" si="2"/>
        <v/>
      </c>
      <c r="K40" s="3" t="str">
        <f t="shared" ca="1" si="3"/>
        <v/>
      </c>
      <c r="L40" s="1">
        <f t="shared" si="4"/>
        <v>0</v>
      </c>
      <c r="M40" s="1">
        <f t="shared" si="5"/>
        <v>0</v>
      </c>
    </row>
    <row r="41" spans="1:13" x14ac:dyDescent="0.25">
      <c r="A41" s="1"/>
      <c r="B41" s="2"/>
      <c r="C41" s="1"/>
      <c r="D41" s="1"/>
      <c r="E41" s="7"/>
      <c r="F41" s="7">
        <f t="shared" si="0"/>
        <v>0</v>
      </c>
      <c r="G41" s="7"/>
      <c r="H41" s="7"/>
      <c r="I41" s="2" t="str">
        <f t="shared" si="1"/>
        <v/>
      </c>
      <c r="J41" s="1" t="str">
        <f t="shared" ca="1" si="2"/>
        <v/>
      </c>
      <c r="K41" s="3" t="str">
        <f t="shared" ca="1" si="3"/>
        <v/>
      </c>
      <c r="L41" s="1">
        <f t="shared" si="4"/>
        <v>0</v>
      </c>
      <c r="M41" s="1">
        <f t="shared" si="5"/>
        <v>0</v>
      </c>
    </row>
    <row r="42" spans="1:13" x14ac:dyDescent="0.25">
      <c r="A42" s="1"/>
      <c r="B42" s="2"/>
      <c r="C42" s="1"/>
      <c r="D42" s="1"/>
      <c r="E42" s="7"/>
      <c r="F42" s="7">
        <f t="shared" si="0"/>
        <v>0</v>
      </c>
      <c r="G42" s="7"/>
      <c r="H42" s="7"/>
      <c r="I42" s="2" t="str">
        <f t="shared" si="1"/>
        <v/>
      </c>
      <c r="J42" s="1" t="str">
        <f t="shared" ca="1" si="2"/>
        <v/>
      </c>
      <c r="K42" s="3" t="str">
        <f t="shared" ca="1" si="3"/>
        <v/>
      </c>
      <c r="L42" s="1">
        <f t="shared" si="4"/>
        <v>0</v>
      </c>
      <c r="M42" s="1">
        <f t="shared" si="5"/>
        <v>0</v>
      </c>
    </row>
    <row r="43" spans="1:13" x14ac:dyDescent="0.25">
      <c r="A43" s="1"/>
      <c r="B43" s="2"/>
      <c r="C43" s="1"/>
      <c r="D43" s="1"/>
      <c r="E43" s="7"/>
      <c r="F43" s="7">
        <f t="shared" si="0"/>
        <v>0</v>
      </c>
      <c r="G43" s="7"/>
      <c r="H43" s="7"/>
      <c r="I43" s="2" t="str">
        <f t="shared" si="1"/>
        <v/>
      </c>
      <c r="J43" s="1" t="str">
        <f t="shared" ca="1" si="2"/>
        <v/>
      </c>
      <c r="K43" s="3" t="str">
        <f t="shared" ca="1" si="3"/>
        <v/>
      </c>
      <c r="L43" s="1">
        <f t="shared" si="4"/>
        <v>0</v>
      </c>
      <c r="M43" s="1">
        <f t="shared" si="5"/>
        <v>0</v>
      </c>
    </row>
    <row r="44" spans="1:13" x14ac:dyDescent="0.25">
      <c r="A44" s="1"/>
      <c r="B44" s="2"/>
      <c r="C44" s="1"/>
      <c r="D44" s="1"/>
      <c r="E44" s="7"/>
      <c r="F44" s="7">
        <f t="shared" si="0"/>
        <v>0</v>
      </c>
      <c r="G44" s="7"/>
      <c r="H44" s="7"/>
      <c r="I44" s="2" t="str">
        <f t="shared" si="1"/>
        <v/>
      </c>
      <c r="J44" s="1" t="str">
        <f t="shared" ca="1" si="2"/>
        <v/>
      </c>
      <c r="K44" s="3" t="str">
        <f t="shared" ca="1" si="3"/>
        <v/>
      </c>
      <c r="L44" s="1">
        <f t="shared" si="4"/>
        <v>0</v>
      </c>
      <c r="M44" s="1">
        <f t="shared" si="5"/>
        <v>0</v>
      </c>
    </row>
    <row r="45" spans="1:13" x14ac:dyDescent="0.25">
      <c r="A45" s="1"/>
      <c r="B45" s="2"/>
      <c r="C45" s="1"/>
      <c r="D45" s="1"/>
      <c r="E45" s="7"/>
      <c r="F45" s="7">
        <f t="shared" si="0"/>
        <v>0</v>
      </c>
      <c r="G45" s="7"/>
      <c r="H45" s="7"/>
      <c r="I45" s="2" t="str">
        <f t="shared" si="1"/>
        <v/>
      </c>
      <c r="J45" s="1" t="str">
        <f t="shared" ca="1" si="2"/>
        <v/>
      </c>
      <c r="K45" s="3" t="str">
        <f t="shared" ca="1" si="3"/>
        <v/>
      </c>
      <c r="L45" s="1">
        <f t="shared" si="4"/>
        <v>0</v>
      </c>
      <c r="M45" s="1">
        <f t="shared" si="5"/>
        <v>0</v>
      </c>
    </row>
    <row r="46" spans="1:13" x14ac:dyDescent="0.25">
      <c r="A46" s="1"/>
      <c r="B46" s="2"/>
      <c r="C46" s="1"/>
      <c r="D46" s="1"/>
      <c r="E46" s="7"/>
      <c r="F46" s="7">
        <f t="shared" si="0"/>
        <v>0</v>
      </c>
      <c r="G46" s="7"/>
      <c r="H46" s="7"/>
      <c r="I46" s="2" t="str">
        <f t="shared" si="1"/>
        <v/>
      </c>
      <c r="J46" s="1" t="str">
        <f t="shared" ca="1" si="2"/>
        <v/>
      </c>
      <c r="K46" s="3" t="str">
        <f t="shared" ca="1" si="3"/>
        <v/>
      </c>
      <c r="L46" s="1">
        <f t="shared" si="4"/>
        <v>0</v>
      </c>
      <c r="M46" s="1">
        <f t="shared" si="5"/>
        <v>0</v>
      </c>
    </row>
    <row r="47" spans="1:13" x14ac:dyDescent="0.25">
      <c r="A47" s="1"/>
      <c r="B47" s="2"/>
      <c r="C47" s="1"/>
      <c r="D47" s="1"/>
      <c r="E47" s="7"/>
      <c r="F47" s="7">
        <f t="shared" si="0"/>
        <v>0</v>
      </c>
      <c r="G47" s="7"/>
      <c r="H47" s="7"/>
      <c r="I47" s="2" t="str">
        <f t="shared" si="1"/>
        <v/>
      </c>
      <c r="J47" s="1" t="str">
        <f t="shared" ca="1" si="2"/>
        <v/>
      </c>
      <c r="K47" s="3" t="str">
        <f t="shared" ca="1" si="3"/>
        <v/>
      </c>
      <c r="L47" s="1">
        <f t="shared" si="4"/>
        <v>0</v>
      </c>
      <c r="M47" s="1">
        <f t="shared" si="5"/>
        <v>0</v>
      </c>
    </row>
    <row r="48" spans="1:13" x14ac:dyDescent="0.25">
      <c r="A48" s="1"/>
      <c r="B48" s="2"/>
      <c r="C48" s="1"/>
      <c r="D48" s="1"/>
      <c r="E48" s="7"/>
      <c r="F48" s="7">
        <f t="shared" si="0"/>
        <v>0</v>
      </c>
      <c r="G48" s="7"/>
      <c r="H48" s="7"/>
      <c r="I48" s="2" t="str">
        <f t="shared" si="1"/>
        <v/>
      </c>
      <c r="J48" s="1" t="str">
        <f t="shared" ca="1" si="2"/>
        <v/>
      </c>
      <c r="K48" s="3" t="str">
        <f t="shared" ca="1" si="3"/>
        <v/>
      </c>
      <c r="L48" s="1">
        <f t="shared" si="4"/>
        <v>0</v>
      </c>
      <c r="M48" s="1">
        <f t="shared" si="5"/>
        <v>0</v>
      </c>
    </row>
    <row r="49" spans="1:13" x14ac:dyDescent="0.25">
      <c r="A49" s="1"/>
      <c r="B49" s="2"/>
      <c r="C49" s="1"/>
      <c r="D49" s="1"/>
      <c r="E49" s="7"/>
      <c r="F49" s="7">
        <f t="shared" si="0"/>
        <v>0</v>
      </c>
      <c r="G49" s="7"/>
      <c r="H49" s="7"/>
      <c r="I49" s="2" t="str">
        <f t="shared" si="1"/>
        <v/>
      </c>
      <c r="J49" s="1" t="str">
        <f t="shared" ca="1" si="2"/>
        <v/>
      </c>
      <c r="K49" s="3" t="str">
        <f t="shared" ca="1" si="3"/>
        <v/>
      </c>
      <c r="L49" s="1">
        <f t="shared" si="4"/>
        <v>0</v>
      </c>
      <c r="M49" s="1">
        <f t="shared" si="5"/>
        <v>0</v>
      </c>
    </row>
    <row r="50" spans="1:13" x14ac:dyDescent="0.25">
      <c r="A50" s="1"/>
      <c r="B50" s="2"/>
      <c r="C50" s="1"/>
      <c r="D50" s="1"/>
      <c r="E50" s="7"/>
      <c r="F50" s="7">
        <f t="shared" si="0"/>
        <v>0</v>
      </c>
      <c r="G50" s="7"/>
      <c r="H50" s="7"/>
      <c r="I50" s="2" t="str">
        <f t="shared" si="1"/>
        <v/>
      </c>
      <c r="J50" s="1" t="str">
        <f t="shared" ca="1" si="2"/>
        <v/>
      </c>
      <c r="K50" s="3" t="str">
        <f t="shared" ca="1" si="3"/>
        <v/>
      </c>
      <c r="L50" s="1">
        <f t="shared" si="4"/>
        <v>0</v>
      </c>
      <c r="M50" s="1">
        <f t="shared" si="5"/>
        <v>0</v>
      </c>
    </row>
    <row r="51" spans="1:13" x14ac:dyDescent="0.25">
      <c r="A51" s="1"/>
      <c r="B51" s="2"/>
      <c r="C51" s="1"/>
      <c r="D51" s="1"/>
      <c r="E51" s="7"/>
      <c r="F51" s="7">
        <f t="shared" si="0"/>
        <v>0</v>
      </c>
      <c r="G51" s="7"/>
      <c r="H51" s="7"/>
      <c r="I51" s="2" t="str">
        <f t="shared" si="1"/>
        <v/>
      </c>
      <c r="J51" s="1" t="str">
        <f t="shared" ca="1" si="2"/>
        <v/>
      </c>
      <c r="K51" s="3" t="str">
        <f t="shared" ca="1" si="3"/>
        <v/>
      </c>
      <c r="L51" s="1">
        <f t="shared" si="4"/>
        <v>0</v>
      </c>
      <c r="M51" s="1">
        <f t="shared" si="5"/>
        <v>0</v>
      </c>
    </row>
    <row r="52" spans="1:13" x14ac:dyDescent="0.25">
      <c r="A52" s="1"/>
      <c r="B52" s="2"/>
      <c r="C52" s="1"/>
      <c r="D52" s="1"/>
      <c r="E52" s="7"/>
      <c r="F52" s="7">
        <f t="shared" si="0"/>
        <v>0</v>
      </c>
      <c r="G52" s="7"/>
      <c r="H52" s="7"/>
      <c r="I52" s="2" t="str">
        <f t="shared" si="1"/>
        <v/>
      </c>
      <c r="J52" s="1" t="str">
        <f t="shared" ca="1" si="2"/>
        <v/>
      </c>
      <c r="K52" s="3" t="str">
        <f t="shared" ca="1" si="3"/>
        <v/>
      </c>
      <c r="L52" s="1">
        <f t="shared" si="4"/>
        <v>0</v>
      </c>
      <c r="M52" s="1">
        <f t="shared" si="5"/>
        <v>0</v>
      </c>
    </row>
    <row r="53" spans="1:13" x14ac:dyDescent="0.25">
      <c r="A53" s="1"/>
      <c r="B53" s="2"/>
      <c r="C53" s="1"/>
      <c r="D53" s="1"/>
      <c r="E53" s="7"/>
      <c r="F53" s="7">
        <f t="shared" si="0"/>
        <v>0</v>
      </c>
      <c r="G53" s="7"/>
      <c r="H53" s="7"/>
      <c r="I53" s="2" t="str">
        <f t="shared" si="1"/>
        <v/>
      </c>
      <c r="J53" s="1" t="str">
        <f t="shared" ca="1" si="2"/>
        <v/>
      </c>
      <c r="K53" s="3" t="str">
        <f t="shared" ca="1" si="3"/>
        <v/>
      </c>
      <c r="L53" s="1">
        <f t="shared" si="4"/>
        <v>0</v>
      </c>
      <c r="M53" s="1">
        <f t="shared" si="5"/>
        <v>0</v>
      </c>
    </row>
    <row r="54" spans="1:13" x14ac:dyDescent="0.25">
      <c r="A54" s="1"/>
      <c r="B54" s="2"/>
      <c r="C54" s="1"/>
      <c r="D54" s="1"/>
      <c r="E54" s="7"/>
      <c r="F54" s="7">
        <f t="shared" si="0"/>
        <v>0</v>
      </c>
      <c r="G54" s="7"/>
      <c r="H54" s="7"/>
      <c r="I54" s="2" t="str">
        <f t="shared" si="1"/>
        <v/>
      </c>
      <c r="J54" s="1" t="str">
        <f t="shared" ca="1" si="2"/>
        <v/>
      </c>
      <c r="K54" s="3" t="str">
        <f t="shared" ca="1" si="3"/>
        <v/>
      </c>
      <c r="L54" s="1">
        <f t="shared" si="4"/>
        <v>0</v>
      </c>
      <c r="M54" s="1">
        <f t="shared" si="5"/>
        <v>0</v>
      </c>
    </row>
    <row r="55" spans="1:13" x14ac:dyDescent="0.25">
      <c r="A55" s="1"/>
      <c r="B55" s="2"/>
      <c r="C55" s="1"/>
      <c r="D55" s="1"/>
      <c r="E55" s="7"/>
      <c r="F55" s="7">
        <f t="shared" si="0"/>
        <v>0</v>
      </c>
      <c r="G55" s="7"/>
      <c r="H55" s="7"/>
      <c r="I55" s="2" t="str">
        <f t="shared" si="1"/>
        <v/>
      </c>
      <c r="J55" s="1" t="str">
        <f t="shared" ca="1" si="2"/>
        <v/>
      </c>
      <c r="K55" s="3" t="str">
        <f t="shared" ca="1" si="3"/>
        <v/>
      </c>
      <c r="L55" s="1">
        <f t="shared" si="4"/>
        <v>0</v>
      </c>
      <c r="M55" s="1">
        <f t="shared" si="5"/>
        <v>0</v>
      </c>
    </row>
    <row r="56" spans="1:13" x14ac:dyDescent="0.25">
      <c r="A56" s="1"/>
      <c r="B56" s="2"/>
      <c r="C56" s="1"/>
      <c r="D56" s="1"/>
      <c r="E56" s="7"/>
      <c r="F56" s="7">
        <f t="shared" si="0"/>
        <v>0</v>
      </c>
      <c r="G56" s="7"/>
      <c r="H56" s="7"/>
      <c r="I56" s="2" t="str">
        <f t="shared" si="1"/>
        <v/>
      </c>
      <c r="J56" s="1" t="str">
        <f t="shared" ca="1" si="2"/>
        <v/>
      </c>
      <c r="K56" s="3" t="str">
        <f t="shared" ca="1" si="3"/>
        <v/>
      </c>
      <c r="L56" s="1">
        <f t="shared" si="4"/>
        <v>0</v>
      </c>
      <c r="M56" s="1">
        <f t="shared" si="5"/>
        <v>0</v>
      </c>
    </row>
    <row r="57" spans="1:13" x14ac:dyDescent="0.25">
      <c r="A57" s="1"/>
      <c r="B57" s="2"/>
      <c r="C57" s="1"/>
      <c r="D57" s="1"/>
      <c r="E57" s="7"/>
      <c r="F57" s="7">
        <f t="shared" si="0"/>
        <v>0</v>
      </c>
      <c r="G57" s="7"/>
      <c r="H57" s="7"/>
      <c r="I57" s="2" t="str">
        <f t="shared" si="1"/>
        <v/>
      </c>
      <c r="J57" s="1" t="str">
        <f t="shared" ca="1" si="2"/>
        <v/>
      </c>
      <c r="K57" s="3" t="str">
        <f t="shared" ca="1" si="3"/>
        <v/>
      </c>
      <c r="L57" s="1">
        <f t="shared" si="4"/>
        <v>0</v>
      </c>
      <c r="M57" s="1">
        <f t="shared" si="5"/>
        <v>0</v>
      </c>
    </row>
    <row r="58" spans="1:13" x14ac:dyDescent="0.25">
      <c r="A58" s="1"/>
      <c r="B58" s="2"/>
      <c r="C58" s="1"/>
      <c r="D58" s="1"/>
      <c r="E58" s="7"/>
      <c r="F58" s="7">
        <f t="shared" si="0"/>
        <v>0</v>
      </c>
      <c r="G58" s="7"/>
      <c r="H58" s="7"/>
      <c r="I58" s="2" t="str">
        <f t="shared" si="1"/>
        <v/>
      </c>
      <c r="J58" s="1" t="str">
        <f t="shared" ca="1" si="2"/>
        <v/>
      </c>
      <c r="K58" s="3" t="str">
        <f t="shared" ca="1" si="3"/>
        <v/>
      </c>
      <c r="L58" s="1">
        <f t="shared" si="4"/>
        <v>0</v>
      </c>
      <c r="M58" s="1">
        <f t="shared" si="5"/>
        <v>0</v>
      </c>
    </row>
    <row r="59" spans="1:13" x14ac:dyDescent="0.25">
      <c r="A59" s="1"/>
      <c r="B59" s="2"/>
      <c r="C59" s="1"/>
      <c r="D59" s="1"/>
      <c r="E59" s="7"/>
      <c r="F59" s="7">
        <f t="shared" si="0"/>
        <v>0</v>
      </c>
      <c r="G59" s="7"/>
      <c r="H59" s="7"/>
      <c r="I59" s="2" t="str">
        <f t="shared" si="1"/>
        <v/>
      </c>
      <c r="J59" s="1" t="str">
        <f t="shared" ca="1" si="2"/>
        <v/>
      </c>
      <c r="K59" s="3" t="str">
        <f t="shared" ca="1" si="3"/>
        <v/>
      </c>
      <c r="L59" s="1">
        <f t="shared" si="4"/>
        <v>0</v>
      </c>
      <c r="M59" s="1">
        <f t="shared" si="5"/>
        <v>0</v>
      </c>
    </row>
    <row r="60" spans="1:13" x14ac:dyDescent="0.25">
      <c r="A60" s="1"/>
      <c r="B60" s="2"/>
      <c r="C60" s="1"/>
      <c r="D60" s="1"/>
      <c r="E60" s="7"/>
      <c r="F60" s="7">
        <f t="shared" si="0"/>
        <v>0</v>
      </c>
      <c r="G60" s="7"/>
      <c r="H60" s="7"/>
      <c r="I60" s="2" t="str">
        <f t="shared" si="1"/>
        <v/>
      </c>
      <c r="J60" s="1" t="str">
        <f t="shared" ca="1" si="2"/>
        <v/>
      </c>
      <c r="K60" s="3" t="str">
        <f t="shared" ca="1" si="3"/>
        <v/>
      </c>
      <c r="L60" s="1">
        <f t="shared" si="4"/>
        <v>0</v>
      </c>
      <c r="M60" s="1">
        <f t="shared" si="5"/>
        <v>0</v>
      </c>
    </row>
    <row r="61" spans="1:13" x14ac:dyDescent="0.25">
      <c r="A61" s="1"/>
      <c r="B61" s="2"/>
      <c r="C61" s="1"/>
      <c r="D61" s="1"/>
      <c r="E61" s="7"/>
      <c r="F61" s="7">
        <f t="shared" si="0"/>
        <v>0</v>
      </c>
      <c r="G61" s="7"/>
      <c r="H61" s="7"/>
      <c r="I61" s="2" t="str">
        <f t="shared" si="1"/>
        <v/>
      </c>
      <c r="J61" s="1" t="str">
        <f t="shared" ca="1" si="2"/>
        <v/>
      </c>
      <c r="K61" s="3" t="str">
        <f t="shared" ca="1" si="3"/>
        <v/>
      </c>
      <c r="L61" s="1">
        <f t="shared" si="4"/>
        <v>0</v>
      </c>
      <c r="M61" s="1">
        <f t="shared" si="5"/>
        <v>0</v>
      </c>
    </row>
    <row r="62" spans="1:13" x14ac:dyDescent="0.25">
      <c r="A62" s="1"/>
      <c r="B62" s="2"/>
      <c r="C62" s="1"/>
      <c r="D62" s="1"/>
      <c r="E62" s="7"/>
      <c r="F62" s="7">
        <f t="shared" si="0"/>
        <v>0</v>
      </c>
      <c r="G62" s="7"/>
      <c r="H62" s="7"/>
      <c r="I62" s="2" t="str">
        <f t="shared" si="1"/>
        <v/>
      </c>
      <c r="J62" s="1" t="str">
        <f t="shared" ca="1" si="2"/>
        <v/>
      </c>
      <c r="K62" s="3" t="str">
        <f t="shared" ca="1" si="3"/>
        <v/>
      </c>
      <c r="L62" s="1">
        <f t="shared" si="4"/>
        <v>0</v>
      </c>
      <c r="M62" s="1">
        <f t="shared" si="5"/>
        <v>0</v>
      </c>
    </row>
    <row r="63" spans="1:13" x14ac:dyDescent="0.25">
      <c r="A63" s="1"/>
      <c r="B63" s="2"/>
      <c r="C63" s="1"/>
      <c r="D63" s="1"/>
      <c r="E63" s="7"/>
      <c r="F63" s="7">
        <f t="shared" si="0"/>
        <v>0</v>
      </c>
      <c r="G63" s="7"/>
      <c r="H63" s="7"/>
      <c r="I63" s="2" t="str">
        <f t="shared" si="1"/>
        <v/>
      </c>
      <c r="J63" s="1" t="str">
        <f t="shared" ca="1" si="2"/>
        <v/>
      </c>
      <c r="K63" s="3" t="str">
        <f t="shared" ca="1" si="3"/>
        <v/>
      </c>
      <c r="L63" s="1">
        <f t="shared" si="4"/>
        <v>0</v>
      </c>
      <c r="M63" s="1">
        <f t="shared" si="5"/>
        <v>0</v>
      </c>
    </row>
    <row r="64" spans="1:13" x14ac:dyDescent="0.25">
      <c r="A64" s="1"/>
      <c r="B64" s="2"/>
      <c r="C64" s="1"/>
      <c r="D64" s="1"/>
      <c r="E64" s="7"/>
      <c r="F64" s="7">
        <f t="shared" si="0"/>
        <v>0</v>
      </c>
      <c r="G64" s="7"/>
      <c r="H64" s="7"/>
      <c r="I64" s="2" t="str">
        <f t="shared" si="1"/>
        <v/>
      </c>
      <c r="J64" s="1" t="str">
        <f t="shared" ca="1" si="2"/>
        <v/>
      </c>
      <c r="K64" s="3" t="str">
        <f t="shared" ca="1" si="3"/>
        <v/>
      </c>
      <c r="L64" s="1">
        <f t="shared" si="4"/>
        <v>0</v>
      </c>
      <c r="M64" s="1">
        <f t="shared" si="5"/>
        <v>0</v>
      </c>
    </row>
    <row r="65" spans="1:13" x14ac:dyDescent="0.25">
      <c r="A65" s="1"/>
      <c r="B65" s="2"/>
      <c r="C65" s="1"/>
      <c r="D65" s="1"/>
      <c r="E65" s="7"/>
      <c r="F65" s="7">
        <f t="shared" si="0"/>
        <v>0</v>
      </c>
      <c r="G65" s="7"/>
      <c r="H65" s="7"/>
      <c r="I65" s="2" t="str">
        <f t="shared" si="1"/>
        <v/>
      </c>
      <c r="J65" s="1" t="str">
        <f t="shared" ca="1" si="2"/>
        <v/>
      </c>
      <c r="K65" s="3" t="str">
        <f t="shared" ca="1" si="3"/>
        <v/>
      </c>
      <c r="L65" s="1">
        <f t="shared" si="4"/>
        <v>0</v>
      </c>
      <c r="M65" s="1">
        <f t="shared" si="5"/>
        <v>0</v>
      </c>
    </row>
    <row r="66" spans="1:13" x14ac:dyDescent="0.25">
      <c r="A66" s="1"/>
      <c r="B66" s="2"/>
      <c r="C66" s="1"/>
      <c r="D66" s="1"/>
      <c r="E66" s="7"/>
      <c r="F66" s="7">
        <f t="shared" ref="F66:F129" si="6">G66-H66</f>
        <v>0</v>
      </c>
      <c r="G66" s="7"/>
      <c r="H66" s="7"/>
      <c r="I66" s="2" t="str">
        <f t="shared" ref="I66:I129" si="7">IF(F66=0,"",IF(C66="CRED",B66+(INT((G66-F66)/E66)+1)*D66,B66+INT((G66-F66)/E66)*D66))</f>
        <v/>
      </c>
      <c r="J66" s="1" t="str">
        <f t="shared" ref="J66:J129" ca="1" si="8">IF(I66="","",I66-TODAY())</f>
        <v/>
      </c>
      <c r="K66" s="3" t="str">
        <f t="shared" ref="K66:K129" ca="1" si="9">IF(J66="","",IF(J66&lt;0,"VENCIDO",IF(J66&lt;=1,"PRÓXIMO","VIGENTE")))</f>
        <v/>
      </c>
      <c r="L66" s="1">
        <f t="shared" ref="L66:L129" si="10">IF(F66=G66,0,INT((G66-F66)/E66))</f>
        <v>0</v>
      </c>
      <c r="M66" s="1">
        <f t="shared" ref="M66:M129" si="11">IF(F66=0,0,INT(F66/E66)+(IF(MOD(F66,E66)&gt;0,1,0)))</f>
        <v>0</v>
      </c>
    </row>
    <row r="67" spans="1:13" x14ac:dyDescent="0.25">
      <c r="A67" s="1"/>
      <c r="B67" s="2"/>
      <c r="C67" s="1"/>
      <c r="D67" s="1"/>
      <c r="E67" s="7"/>
      <c r="F67" s="7">
        <f t="shared" si="6"/>
        <v>0</v>
      </c>
      <c r="G67" s="7"/>
      <c r="H67" s="7"/>
      <c r="I67" s="2" t="str">
        <f t="shared" si="7"/>
        <v/>
      </c>
      <c r="J67" s="1" t="str">
        <f t="shared" ca="1" si="8"/>
        <v/>
      </c>
      <c r="K67" s="3" t="str">
        <f t="shared" ca="1" si="9"/>
        <v/>
      </c>
      <c r="L67" s="1">
        <f t="shared" si="10"/>
        <v>0</v>
      </c>
      <c r="M67" s="1">
        <f t="shared" si="11"/>
        <v>0</v>
      </c>
    </row>
    <row r="68" spans="1:13" x14ac:dyDescent="0.25">
      <c r="A68" s="1"/>
      <c r="B68" s="2"/>
      <c r="C68" s="1"/>
      <c r="D68" s="1"/>
      <c r="E68" s="7"/>
      <c r="F68" s="7">
        <f t="shared" si="6"/>
        <v>0</v>
      </c>
      <c r="G68" s="7"/>
      <c r="H68" s="7"/>
      <c r="I68" s="2" t="str">
        <f t="shared" si="7"/>
        <v/>
      </c>
      <c r="J68" s="1" t="str">
        <f t="shared" ca="1" si="8"/>
        <v/>
      </c>
      <c r="K68" s="3" t="str">
        <f t="shared" ca="1" si="9"/>
        <v/>
      </c>
      <c r="L68" s="1">
        <f t="shared" si="10"/>
        <v>0</v>
      </c>
      <c r="M68" s="1">
        <f t="shared" si="11"/>
        <v>0</v>
      </c>
    </row>
    <row r="69" spans="1:13" x14ac:dyDescent="0.25">
      <c r="A69" s="1"/>
      <c r="B69" s="2"/>
      <c r="C69" s="1"/>
      <c r="D69" s="1"/>
      <c r="E69" s="7"/>
      <c r="F69" s="7">
        <f t="shared" si="6"/>
        <v>0</v>
      </c>
      <c r="G69" s="7"/>
      <c r="H69" s="7"/>
      <c r="I69" s="2" t="str">
        <f t="shared" si="7"/>
        <v/>
      </c>
      <c r="J69" s="1" t="str">
        <f t="shared" ca="1" si="8"/>
        <v/>
      </c>
      <c r="K69" s="3" t="str">
        <f t="shared" ca="1" si="9"/>
        <v/>
      </c>
      <c r="L69" s="1">
        <f t="shared" si="10"/>
        <v>0</v>
      </c>
      <c r="M69" s="1">
        <f t="shared" si="11"/>
        <v>0</v>
      </c>
    </row>
    <row r="70" spans="1:13" x14ac:dyDescent="0.25">
      <c r="A70" s="1"/>
      <c r="B70" s="2"/>
      <c r="C70" s="1"/>
      <c r="D70" s="1"/>
      <c r="E70" s="7"/>
      <c r="F70" s="7">
        <f t="shared" si="6"/>
        <v>0</v>
      </c>
      <c r="G70" s="7"/>
      <c r="H70" s="7"/>
      <c r="I70" s="2" t="str">
        <f t="shared" si="7"/>
        <v/>
      </c>
      <c r="J70" s="1" t="str">
        <f t="shared" ca="1" si="8"/>
        <v/>
      </c>
      <c r="K70" s="3" t="str">
        <f t="shared" ca="1" si="9"/>
        <v/>
      </c>
      <c r="L70" s="1">
        <f t="shared" si="10"/>
        <v>0</v>
      </c>
      <c r="M70" s="1">
        <f t="shared" si="11"/>
        <v>0</v>
      </c>
    </row>
    <row r="71" spans="1:13" x14ac:dyDescent="0.25">
      <c r="A71" s="1"/>
      <c r="B71" s="2"/>
      <c r="C71" s="1"/>
      <c r="D71" s="1"/>
      <c r="E71" s="7"/>
      <c r="F71" s="7">
        <f t="shared" si="6"/>
        <v>0</v>
      </c>
      <c r="G71" s="7"/>
      <c r="H71" s="7"/>
      <c r="I71" s="2" t="str">
        <f t="shared" si="7"/>
        <v/>
      </c>
      <c r="J71" s="1" t="str">
        <f t="shared" ca="1" si="8"/>
        <v/>
      </c>
      <c r="K71" s="3" t="str">
        <f t="shared" ca="1" si="9"/>
        <v/>
      </c>
      <c r="L71" s="1">
        <f t="shared" si="10"/>
        <v>0</v>
      </c>
      <c r="M71" s="1">
        <f t="shared" si="11"/>
        <v>0</v>
      </c>
    </row>
    <row r="72" spans="1:13" x14ac:dyDescent="0.25">
      <c r="A72" s="1"/>
      <c r="B72" s="2"/>
      <c r="C72" s="1"/>
      <c r="D72" s="1"/>
      <c r="E72" s="7"/>
      <c r="F72" s="7">
        <f t="shared" si="6"/>
        <v>0</v>
      </c>
      <c r="G72" s="7"/>
      <c r="H72" s="7"/>
      <c r="I72" s="2" t="str">
        <f t="shared" si="7"/>
        <v/>
      </c>
      <c r="J72" s="1" t="str">
        <f t="shared" ca="1" si="8"/>
        <v/>
      </c>
      <c r="K72" s="3" t="str">
        <f t="shared" ca="1" si="9"/>
        <v/>
      </c>
      <c r="L72" s="1">
        <f t="shared" si="10"/>
        <v>0</v>
      </c>
      <c r="M72" s="1">
        <f t="shared" si="11"/>
        <v>0</v>
      </c>
    </row>
    <row r="73" spans="1:13" x14ac:dyDescent="0.25">
      <c r="A73" s="1"/>
      <c r="B73" s="2"/>
      <c r="C73" s="1"/>
      <c r="D73" s="1"/>
      <c r="E73" s="7"/>
      <c r="F73" s="7">
        <f t="shared" si="6"/>
        <v>0</v>
      </c>
      <c r="G73" s="7"/>
      <c r="H73" s="7"/>
      <c r="I73" s="2" t="str">
        <f t="shared" si="7"/>
        <v/>
      </c>
      <c r="J73" s="1" t="str">
        <f t="shared" ca="1" si="8"/>
        <v/>
      </c>
      <c r="K73" s="3" t="str">
        <f t="shared" ca="1" si="9"/>
        <v/>
      </c>
      <c r="L73" s="1">
        <f t="shared" si="10"/>
        <v>0</v>
      </c>
      <c r="M73" s="1">
        <f t="shared" si="11"/>
        <v>0</v>
      </c>
    </row>
    <row r="74" spans="1:13" x14ac:dyDescent="0.25">
      <c r="A74" s="1"/>
      <c r="B74" s="2"/>
      <c r="C74" s="1"/>
      <c r="D74" s="1"/>
      <c r="E74" s="7"/>
      <c r="F74" s="7">
        <f t="shared" si="6"/>
        <v>0</v>
      </c>
      <c r="G74" s="7"/>
      <c r="H74" s="7"/>
      <c r="I74" s="2" t="str">
        <f t="shared" si="7"/>
        <v/>
      </c>
      <c r="J74" s="1" t="str">
        <f t="shared" ca="1" si="8"/>
        <v/>
      </c>
      <c r="K74" s="3" t="str">
        <f t="shared" ca="1" si="9"/>
        <v/>
      </c>
      <c r="L74" s="1">
        <f t="shared" si="10"/>
        <v>0</v>
      </c>
      <c r="M74" s="1">
        <f t="shared" si="11"/>
        <v>0</v>
      </c>
    </row>
    <row r="75" spans="1:13" x14ac:dyDescent="0.25">
      <c r="A75" s="1"/>
      <c r="B75" s="2"/>
      <c r="C75" s="1"/>
      <c r="D75" s="1"/>
      <c r="E75" s="7"/>
      <c r="F75" s="7">
        <f t="shared" si="6"/>
        <v>0</v>
      </c>
      <c r="G75" s="7"/>
      <c r="H75" s="7"/>
      <c r="I75" s="2" t="str">
        <f t="shared" si="7"/>
        <v/>
      </c>
      <c r="J75" s="1" t="str">
        <f t="shared" ca="1" si="8"/>
        <v/>
      </c>
      <c r="K75" s="3" t="str">
        <f t="shared" ca="1" si="9"/>
        <v/>
      </c>
      <c r="L75" s="1">
        <f t="shared" si="10"/>
        <v>0</v>
      </c>
      <c r="M75" s="1">
        <f t="shared" si="11"/>
        <v>0</v>
      </c>
    </row>
    <row r="76" spans="1:13" x14ac:dyDescent="0.25">
      <c r="A76" s="1"/>
      <c r="B76" s="2"/>
      <c r="C76" s="1"/>
      <c r="D76" s="1"/>
      <c r="E76" s="7"/>
      <c r="F76" s="7">
        <f t="shared" si="6"/>
        <v>0</v>
      </c>
      <c r="G76" s="7"/>
      <c r="H76" s="7"/>
      <c r="I76" s="2" t="str">
        <f t="shared" si="7"/>
        <v/>
      </c>
      <c r="J76" s="1" t="str">
        <f t="shared" ca="1" si="8"/>
        <v/>
      </c>
      <c r="K76" s="3" t="str">
        <f t="shared" ca="1" si="9"/>
        <v/>
      </c>
      <c r="L76" s="1">
        <f t="shared" si="10"/>
        <v>0</v>
      </c>
      <c r="M76" s="1">
        <f t="shared" si="11"/>
        <v>0</v>
      </c>
    </row>
    <row r="77" spans="1:13" x14ac:dyDescent="0.25">
      <c r="A77" s="1"/>
      <c r="B77" s="2"/>
      <c r="C77" s="1"/>
      <c r="D77" s="1"/>
      <c r="E77" s="7"/>
      <c r="F77" s="7">
        <f t="shared" si="6"/>
        <v>0</v>
      </c>
      <c r="G77" s="7"/>
      <c r="H77" s="7"/>
      <c r="I77" s="2" t="str">
        <f t="shared" si="7"/>
        <v/>
      </c>
      <c r="J77" s="1" t="str">
        <f t="shared" ca="1" si="8"/>
        <v/>
      </c>
      <c r="K77" s="3" t="str">
        <f t="shared" ca="1" si="9"/>
        <v/>
      </c>
      <c r="L77" s="1">
        <f t="shared" si="10"/>
        <v>0</v>
      </c>
      <c r="M77" s="1">
        <f t="shared" si="11"/>
        <v>0</v>
      </c>
    </row>
    <row r="78" spans="1:13" x14ac:dyDescent="0.25">
      <c r="A78" s="1"/>
      <c r="B78" s="2"/>
      <c r="C78" s="1"/>
      <c r="D78" s="1"/>
      <c r="E78" s="7"/>
      <c r="F78" s="7">
        <f t="shared" si="6"/>
        <v>0</v>
      </c>
      <c r="G78" s="7"/>
      <c r="H78" s="7"/>
      <c r="I78" s="2" t="str">
        <f t="shared" si="7"/>
        <v/>
      </c>
      <c r="J78" s="1" t="str">
        <f t="shared" ca="1" si="8"/>
        <v/>
      </c>
      <c r="K78" s="3" t="str">
        <f t="shared" ca="1" si="9"/>
        <v/>
      </c>
      <c r="L78" s="1">
        <f t="shared" si="10"/>
        <v>0</v>
      </c>
      <c r="M78" s="1">
        <f t="shared" si="11"/>
        <v>0</v>
      </c>
    </row>
    <row r="79" spans="1:13" x14ac:dyDescent="0.25">
      <c r="A79" s="1"/>
      <c r="B79" s="2"/>
      <c r="C79" s="1"/>
      <c r="D79" s="1"/>
      <c r="E79" s="7"/>
      <c r="F79" s="7">
        <f t="shared" si="6"/>
        <v>0</v>
      </c>
      <c r="G79" s="7"/>
      <c r="H79" s="7"/>
      <c r="I79" s="2" t="str">
        <f t="shared" si="7"/>
        <v/>
      </c>
      <c r="J79" s="1" t="str">
        <f t="shared" ca="1" si="8"/>
        <v/>
      </c>
      <c r="K79" s="3" t="str">
        <f t="shared" ca="1" si="9"/>
        <v/>
      </c>
      <c r="L79" s="1">
        <f t="shared" si="10"/>
        <v>0</v>
      </c>
      <c r="M79" s="1">
        <f t="shared" si="11"/>
        <v>0</v>
      </c>
    </row>
    <row r="80" spans="1:13" x14ac:dyDescent="0.25">
      <c r="A80" s="1"/>
      <c r="B80" s="2"/>
      <c r="C80" s="1"/>
      <c r="D80" s="1"/>
      <c r="E80" s="7"/>
      <c r="F80" s="7">
        <f t="shared" si="6"/>
        <v>0</v>
      </c>
      <c r="G80" s="7"/>
      <c r="H80" s="7"/>
      <c r="I80" s="2" t="str">
        <f t="shared" si="7"/>
        <v/>
      </c>
      <c r="J80" s="1" t="str">
        <f t="shared" ca="1" si="8"/>
        <v/>
      </c>
      <c r="K80" s="3" t="str">
        <f t="shared" ca="1" si="9"/>
        <v/>
      </c>
      <c r="L80" s="1">
        <f t="shared" si="10"/>
        <v>0</v>
      </c>
      <c r="M80" s="1">
        <f t="shared" si="11"/>
        <v>0</v>
      </c>
    </row>
    <row r="81" spans="1:13" x14ac:dyDescent="0.25">
      <c r="A81" s="1"/>
      <c r="B81" s="2"/>
      <c r="C81" s="1"/>
      <c r="D81" s="1"/>
      <c r="E81" s="7"/>
      <c r="F81" s="7">
        <f t="shared" si="6"/>
        <v>0</v>
      </c>
      <c r="G81" s="7"/>
      <c r="H81" s="7"/>
      <c r="I81" s="2" t="str">
        <f t="shared" si="7"/>
        <v/>
      </c>
      <c r="J81" s="1" t="str">
        <f t="shared" ca="1" si="8"/>
        <v/>
      </c>
      <c r="K81" s="3" t="str">
        <f t="shared" ca="1" si="9"/>
        <v/>
      </c>
      <c r="L81" s="1">
        <f t="shared" si="10"/>
        <v>0</v>
      </c>
      <c r="M81" s="1">
        <f t="shared" si="11"/>
        <v>0</v>
      </c>
    </row>
    <row r="82" spans="1:13" x14ac:dyDescent="0.25">
      <c r="A82" s="1"/>
      <c r="B82" s="2"/>
      <c r="C82" s="1"/>
      <c r="D82" s="1"/>
      <c r="E82" s="7"/>
      <c r="F82" s="7">
        <f t="shared" si="6"/>
        <v>0</v>
      </c>
      <c r="G82" s="7"/>
      <c r="H82" s="7"/>
      <c r="I82" s="2" t="str">
        <f t="shared" si="7"/>
        <v/>
      </c>
      <c r="J82" s="1" t="str">
        <f t="shared" ca="1" si="8"/>
        <v/>
      </c>
      <c r="K82" s="3" t="str">
        <f t="shared" ca="1" si="9"/>
        <v/>
      </c>
      <c r="L82" s="1">
        <f t="shared" si="10"/>
        <v>0</v>
      </c>
      <c r="M82" s="1">
        <f t="shared" si="11"/>
        <v>0</v>
      </c>
    </row>
    <row r="83" spans="1:13" x14ac:dyDescent="0.25">
      <c r="A83" s="1"/>
      <c r="B83" s="2"/>
      <c r="C83" s="1"/>
      <c r="D83" s="1"/>
      <c r="E83" s="7"/>
      <c r="F83" s="7">
        <f t="shared" si="6"/>
        <v>0</v>
      </c>
      <c r="G83" s="7"/>
      <c r="H83" s="7"/>
      <c r="I83" s="2" t="str">
        <f t="shared" si="7"/>
        <v/>
      </c>
      <c r="J83" s="1" t="str">
        <f t="shared" ca="1" si="8"/>
        <v/>
      </c>
      <c r="K83" s="3" t="str">
        <f t="shared" ca="1" si="9"/>
        <v/>
      </c>
      <c r="L83" s="1">
        <f t="shared" si="10"/>
        <v>0</v>
      </c>
      <c r="M83" s="1">
        <f t="shared" si="11"/>
        <v>0</v>
      </c>
    </row>
    <row r="84" spans="1:13" x14ac:dyDescent="0.25">
      <c r="A84" s="1"/>
      <c r="B84" s="2"/>
      <c r="C84" s="1"/>
      <c r="D84" s="1"/>
      <c r="E84" s="7"/>
      <c r="F84" s="7">
        <f t="shared" si="6"/>
        <v>0</v>
      </c>
      <c r="G84" s="7"/>
      <c r="H84" s="7"/>
      <c r="I84" s="2" t="str">
        <f t="shared" si="7"/>
        <v/>
      </c>
      <c r="J84" s="1" t="str">
        <f t="shared" ca="1" si="8"/>
        <v/>
      </c>
      <c r="K84" s="3" t="str">
        <f t="shared" ca="1" si="9"/>
        <v/>
      </c>
      <c r="L84" s="1">
        <f t="shared" si="10"/>
        <v>0</v>
      </c>
      <c r="M84" s="1">
        <f t="shared" si="11"/>
        <v>0</v>
      </c>
    </row>
    <row r="85" spans="1:13" x14ac:dyDescent="0.25">
      <c r="A85" s="1"/>
      <c r="B85" s="2"/>
      <c r="C85" s="1"/>
      <c r="D85" s="1"/>
      <c r="E85" s="7"/>
      <c r="F85" s="7">
        <f t="shared" si="6"/>
        <v>0</v>
      </c>
      <c r="G85" s="7"/>
      <c r="H85" s="7"/>
      <c r="I85" s="2" t="str">
        <f t="shared" si="7"/>
        <v/>
      </c>
      <c r="J85" s="1" t="str">
        <f t="shared" ca="1" si="8"/>
        <v/>
      </c>
      <c r="K85" s="3" t="str">
        <f t="shared" ca="1" si="9"/>
        <v/>
      </c>
      <c r="L85" s="1">
        <f t="shared" si="10"/>
        <v>0</v>
      </c>
      <c r="M85" s="1">
        <f t="shared" si="11"/>
        <v>0</v>
      </c>
    </row>
    <row r="86" spans="1:13" x14ac:dyDescent="0.25">
      <c r="A86" s="1"/>
      <c r="B86" s="2"/>
      <c r="C86" s="1"/>
      <c r="D86" s="1"/>
      <c r="E86" s="7"/>
      <c r="F86" s="7">
        <f t="shared" si="6"/>
        <v>0</v>
      </c>
      <c r="G86" s="7"/>
      <c r="H86" s="7"/>
      <c r="I86" s="2" t="str">
        <f t="shared" si="7"/>
        <v/>
      </c>
      <c r="J86" s="1" t="str">
        <f t="shared" ca="1" si="8"/>
        <v/>
      </c>
      <c r="K86" s="3" t="str">
        <f t="shared" ca="1" si="9"/>
        <v/>
      </c>
      <c r="L86" s="1">
        <f t="shared" si="10"/>
        <v>0</v>
      </c>
      <c r="M86" s="1">
        <f t="shared" si="11"/>
        <v>0</v>
      </c>
    </row>
    <row r="87" spans="1:13" x14ac:dyDescent="0.25">
      <c r="A87" s="1"/>
      <c r="B87" s="2"/>
      <c r="C87" s="1"/>
      <c r="D87" s="1"/>
      <c r="E87" s="7"/>
      <c r="F87" s="7">
        <f t="shared" si="6"/>
        <v>0</v>
      </c>
      <c r="G87" s="7"/>
      <c r="H87" s="7"/>
      <c r="I87" s="2" t="str">
        <f t="shared" si="7"/>
        <v/>
      </c>
      <c r="J87" s="1" t="str">
        <f t="shared" ca="1" si="8"/>
        <v/>
      </c>
      <c r="K87" s="3" t="str">
        <f t="shared" ca="1" si="9"/>
        <v/>
      </c>
      <c r="L87" s="1">
        <f t="shared" si="10"/>
        <v>0</v>
      </c>
      <c r="M87" s="1">
        <f t="shared" si="11"/>
        <v>0</v>
      </c>
    </row>
    <row r="88" spans="1:13" x14ac:dyDescent="0.25">
      <c r="A88" s="1"/>
      <c r="B88" s="2"/>
      <c r="C88" s="1"/>
      <c r="D88" s="1"/>
      <c r="E88" s="7"/>
      <c r="F88" s="7">
        <f t="shared" si="6"/>
        <v>0</v>
      </c>
      <c r="G88" s="7"/>
      <c r="H88" s="7"/>
      <c r="I88" s="2" t="str">
        <f t="shared" si="7"/>
        <v/>
      </c>
      <c r="J88" s="1" t="str">
        <f t="shared" ca="1" si="8"/>
        <v/>
      </c>
      <c r="K88" s="3" t="str">
        <f t="shared" ca="1" si="9"/>
        <v/>
      </c>
      <c r="L88" s="1">
        <f t="shared" si="10"/>
        <v>0</v>
      </c>
      <c r="M88" s="1">
        <f t="shared" si="11"/>
        <v>0</v>
      </c>
    </row>
    <row r="89" spans="1:13" x14ac:dyDescent="0.25">
      <c r="A89" s="1"/>
      <c r="B89" s="2"/>
      <c r="C89" s="1"/>
      <c r="D89" s="1"/>
      <c r="E89" s="7"/>
      <c r="F89" s="7">
        <f t="shared" si="6"/>
        <v>0</v>
      </c>
      <c r="G89" s="7"/>
      <c r="H89" s="7"/>
      <c r="I89" s="2" t="str">
        <f t="shared" si="7"/>
        <v/>
      </c>
      <c r="J89" s="1" t="str">
        <f t="shared" ca="1" si="8"/>
        <v/>
      </c>
      <c r="K89" s="3" t="str">
        <f t="shared" ca="1" si="9"/>
        <v/>
      </c>
      <c r="L89" s="1">
        <f t="shared" si="10"/>
        <v>0</v>
      </c>
      <c r="M89" s="1">
        <f t="shared" si="11"/>
        <v>0</v>
      </c>
    </row>
    <row r="90" spans="1:13" x14ac:dyDescent="0.25">
      <c r="A90" s="1"/>
      <c r="B90" s="2"/>
      <c r="C90" s="1"/>
      <c r="D90" s="1"/>
      <c r="E90" s="7"/>
      <c r="F90" s="7">
        <f t="shared" si="6"/>
        <v>0</v>
      </c>
      <c r="G90" s="7"/>
      <c r="H90" s="7"/>
      <c r="I90" s="2" t="str">
        <f t="shared" si="7"/>
        <v/>
      </c>
      <c r="J90" s="1" t="str">
        <f t="shared" ca="1" si="8"/>
        <v/>
      </c>
      <c r="K90" s="3" t="str">
        <f t="shared" ca="1" si="9"/>
        <v/>
      </c>
      <c r="L90" s="1">
        <f t="shared" si="10"/>
        <v>0</v>
      </c>
      <c r="M90" s="1">
        <f t="shared" si="11"/>
        <v>0</v>
      </c>
    </row>
    <row r="91" spans="1:13" x14ac:dyDescent="0.25">
      <c r="A91" s="1"/>
      <c r="B91" s="2"/>
      <c r="C91" s="1"/>
      <c r="D91" s="1"/>
      <c r="E91" s="7"/>
      <c r="F91" s="7">
        <f t="shared" si="6"/>
        <v>0</v>
      </c>
      <c r="G91" s="7"/>
      <c r="H91" s="7"/>
      <c r="I91" s="2" t="str">
        <f t="shared" si="7"/>
        <v/>
      </c>
      <c r="J91" s="1" t="str">
        <f t="shared" ca="1" si="8"/>
        <v/>
      </c>
      <c r="K91" s="3" t="str">
        <f t="shared" ca="1" si="9"/>
        <v/>
      </c>
      <c r="L91" s="1">
        <f t="shared" si="10"/>
        <v>0</v>
      </c>
      <c r="M91" s="1">
        <f t="shared" si="11"/>
        <v>0</v>
      </c>
    </row>
    <row r="92" spans="1:13" x14ac:dyDescent="0.25">
      <c r="A92" s="1"/>
      <c r="B92" s="2"/>
      <c r="C92" s="1"/>
      <c r="D92" s="1"/>
      <c r="E92" s="7"/>
      <c r="F92" s="7">
        <f t="shared" si="6"/>
        <v>0</v>
      </c>
      <c r="G92" s="7"/>
      <c r="H92" s="7"/>
      <c r="I92" s="2" t="str">
        <f t="shared" si="7"/>
        <v/>
      </c>
      <c r="J92" s="1" t="str">
        <f t="shared" ca="1" si="8"/>
        <v/>
      </c>
      <c r="K92" s="3" t="str">
        <f t="shared" ca="1" si="9"/>
        <v/>
      </c>
      <c r="L92" s="1">
        <f t="shared" si="10"/>
        <v>0</v>
      </c>
      <c r="M92" s="1">
        <f t="shared" si="11"/>
        <v>0</v>
      </c>
    </row>
    <row r="93" spans="1:13" x14ac:dyDescent="0.25">
      <c r="A93" s="1"/>
      <c r="B93" s="2"/>
      <c r="C93" s="1"/>
      <c r="D93" s="1"/>
      <c r="E93" s="7"/>
      <c r="F93" s="7">
        <f t="shared" si="6"/>
        <v>0</v>
      </c>
      <c r="G93" s="7"/>
      <c r="H93" s="7"/>
      <c r="I93" s="2" t="str">
        <f t="shared" si="7"/>
        <v/>
      </c>
      <c r="J93" s="1" t="str">
        <f t="shared" ca="1" si="8"/>
        <v/>
      </c>
      <c r="K93" s="3" t="str">
        <f t="shared" ca="1" si="9"/>
        <v/>
      </c>
      <c r="L93" s="1">
        <f t="shared" si="10"/>
        <v>0</v>
      </c>
      <c r="M93" s="1">
        <f t="shared" si="11"/>
        <v>0</v>
      </c>
    </row>
    <row r="94" spans="1:13" x14ac:dyDescent="0.25">
      <c r="A94" s="1"/>
      <c r="B94" s="2"/>
      <c r="C94" s="1"/>
      <c r="D94" s="1"/>
      <c r="E94" s="7"/>
      <c r="F94" s="7">
        <f t="shared" si="6"/>
        <v>0</v>
      </c>
      <c r="G94" s="7"/>
      <c r="H94" s="7"/>
      <c r="I94" s="2" t="str">
        <f t="shared" si="7"/>
        <v/>
      </c>
      <c r="J94" s="1" t="str">
        <f t="shared" ca="1" si="8"/>
        <v/>
      </c>
      <c r="K94" s="3" t="str">
        <f t="shared" ca="1" si="9"/>
        <v/>
      </c>
      <c r="L94" s="1">
        <f t="shared" si="10"/>
        <v>0</v>
      </c>
      <c r="M94" s="1">
        <f t="shared" si="11"/>
        <v>0</v>
      </c>
    </row>
    <row r="95" spans="1:13" x14ac:dyDescent="0.25">
      <c r="A95" s="1"/>
      <c r="B95" s="2"/>
      <c r="C95" s="1"/>
      <c r="D95" s="1"/>
      <c r="E95" s="7"/>
      <c r="F95" s="7">
        <f t="shared" si="6"/>
        <v>0</v>
      </c>
      <c r="G95" s="7"/>
      <c r="H95" s="7"/>
      <c r="I95" s="2" t="str">
        <f t="shared" si="7"/>
        <v/>
      </c>
      <c r="J95" s="1" t="str">
        <f t="shared" ca="1" si="8"/>
        <v/>
      </c>
      <c r="K95" s="3" t="str">
        <f t="shared" ca="1" si="9"/>
        <v/>
      </c>
      <c r="L95" s="1">
        <f t="shared" si="10"/>
        <v>0</v>
      </c>
      <c r="M95" s="1">
        <f t="shared" si="11"/>
        <v>0</v>
      </c>
    </row>
    <row r="96" spans="1:13" x14ac:dyDescent="0.25">
      <c r="A96" s="1"/>
      <c r="B96" s="2"/>
      <c r="C96" s="1"/>
      <c r="D96" s="1"/>
      <c r="E96" s="7"/>
      <c r="F96" s="7">
        <f t="shared" si="6"/>
        <v>0</v>
      </c>
      <c r="G96" s="7"/>
      <c r="H96" s="7"/>
      <c r="I96" s="2" t="str">
        <f t="shared" si="7"/>
        <v/>
      </c>
      <c r="J96" s="1" t="str">
        <f t="shared" ca="1" si="8"/>
        <v/>
      </c>
      <c r="K96" s="3" t="str">
        <f t="shared" ca="1" si="9"/>
        <v/>
      </c>
      <c r="L96" s="1">
        <f t="shared" si="10"/>
        <v>0</v>
      </c>
      <c r="M96" s="1">
        <f t="shared" si="11"/>
        <v>0</v>
      </c>
    </row>
    <row r="97" spans="1:13" x14ac:dyDescent="0.25">
      <c r="A97" s="1"/>
      <c r="B97" s="2"/>
      <c r="C97" s="1"/>
      <c r="D97" s="1"/>
      <c r="E97" s="7"/>
      <c r="F97" s="7">
        <f t="shared" si="6"/>
        <v>0</v>
      </c>
      <c r="G97" s="7"/>
      <c r="H97" s="7"/>
      <c r="I97" s="2" t="str">
        <f t="shared" si="7"/>
        <v/>
      </c>
      <c r="J97" s="1" t="str">
        <f t="shared" ca="1" si="8"/>
        <v/>
      </c>
      <c r="K97" s="3" t="str">
        <f t="shared" ca="1" si="9"/>
        <v/>
      </c>
      <c r="L97" s="1">
        <f t="shared" si="10"/>
        <v>0</v>
      </c>
      <c r="M97" s="1">
        <f t="shared" si="11"/>
        <v>0</v>
      </c>
    </row>
    <row r="98" spans="1:13" x14ac:dyDescent="0.25">
      <c r="A98" s="1"/>
      <c r="B98" s="2"/>
      <c r="C98" s="1"/>
      <c r="D98" s="1"/>
      <c r="E98" s="7"/>
      <c r="F98" s="7">
        <f t="shared" si="6"/>
        <v>0</v>
      </c>
      <c r="G98" s="7"/>
      <c r="H98" s="7"/>
      <c r="I98" s="2" t="str">
        <f t="shared" si="7"/>
        <v/>
      </c>
      <c r="J98" s="1" t="str">
        <f t="shared" ca="1" si="8"/>
        <v/>
      </c>
      <c r="K98" s="3" t="str">
        <f t="shared" ca="1" si="9"/>
        <v/>
      </c>
      <c r="L98" s="1">
        <f t="shared" si="10"/>
        <v>0</v>
      </c>
      <c r="M98" s="1">
        <f t="shared" si="11"/>
        <v>0</v>
      </c>
    </row>
    <row r="99" spans="1:13" x14ac:dyDescent="0.25">
      <c r="A99" s="1"/>
      <c r="B99" s="2"/>
      <c r="C99" s="1"/>
      <c r="D99" s="1"/>
      <c r="E99" s="7"/>
      <c r="F99" s="7">
        <f t="shared" si="6"/>
        <v>0</v>
      </c>
      <c r="G99" s="7"/>
      <c r="H99" s="7"/>
      <c r="I99" s="2" t="str">
        <f t="shared" si="7"/>
        <v/>
      </c>
      <c r="J99" s="1" t="str">
        <f t="shared" ca="1" si="8"/>
        <v/>
      </c>
      <c r="K99" s="3" t="str">
        <f t="shared" ca="1" si="9"/>
        <v/>
      </c>
      <c r="L99" s="1">
        <f t="shared" si="10"/>
        <v>0</v>
      </c>
      <c r="M99" s="1">
        <f t="shared" si="11"/>
        <v>0</v>
      </c>
    </row>
    <row r="100" spans="1:13" x14ac:dyDescent="0.25">
      <c r="A100" s="1"/>
      <c r="B100" s="2"/>
      <c r="C100" s="1"/>
      <c r="D100" s="1"/>
      <c r="E100" s="7"/>
      <c r="F100" s="7">
        <f t="shared" si="6"/>
        <v>0</v>
      </c>
      <c r="G100" s="7"/>
      <c r="H100" s="7"/>
      <c r="I100" s="2" t="str">
        <f t="shared" si="7"/>
        <v/>
      </c>
      <c r="J100" s="1" t="str">
        <f t="shared" ca="1" si="8"/>
        <v/>
      </c>
      <c r="K100" s="3" t="str">
        <f t="shared" ca="1" si="9"/>
        <v/>
      </c>
      <c r="L100" s="1">
        <f t="shared" si="10"/>
        <v>0</v>
      </c>
      <c r="M100" s="1">
        <f t="shared" si="11"/>
        <v>0</v>
      </c>
    </row>
    <row r="101" spans="1:13" x14ac:dyDescent="0.25">
      <c r="A101" s="1"/>
      <c r="B101" s="2"/>
      <c r="C101" s="1"/>
      <c r="D101" s="1"/>
      <c r="E101" s="7"/>
      <c r="F101" s="7">
        <f t="shared" si="6"/>
        <v>0</v>
      </c>
      <c r="G101" s="7"/>
      <c r="H101" s="7"/>
      <c r="I101" s="2" t="str">
        <f t="shared" si="7"/>
        <v/>
      </c>
      <c r="J101" s="1" t="str">
        <f t="shared" ca="1" si="8"/>
        <v/>
      </c>
      <c r="K101" s="3" t="str">
        <f t="shared" ca="1" si="9"/>
        <v/>
      </c>
      <c r="L101" s="1">
        <f t="shared" si="10"/>
        <v>0</v>
      </c>
      <c r="M101" s="1">
        <f t="shared" si="11"/>
        <v>0</v>
      </c>
    </row>
    <row r="102" spans="1:13" x14ac:dyDescent="0.25">
      <c r="A102" s="1"/>
      <c r="B102" s="2"/>
      <c r="C102" s="1"/>
      <c r="D102" s="1"/>
      <c r="E102" s="7"/>
      <c r="F102" s="7">
        <f t="shared" si="6"/>
        <v>0</v>
      </c>
      <c r="G102" s="7"/>
      <c r="H102" s="7"/>
      <c r="I102" s="2" t="str">
        <f t="shared" si="7"/>
        <v/>
      </c>
      <c r="J102" s="1" t="str">
        <f t="shared" ca="1" si="8"/>
        <v/>
      </c>
      <c r="K102" s="3" t="str">
        <f t="shared" ca="1" si="9"/>
        <v/>
      </c>
      <c r="L102" s="1">
        <f t="shared" si="10"/>
        <v>0</v>
      </c>
      <c r="M102" s="1">
        <f t="shared" si="11"/>
        <v>0</v>
      </c>
    </row>
    <row r="103" spans="1:13" x14ac:dyDescent="0.25">
      <c r="A103" s="1"/>
      <c r="B103" s="2"/>
      <c r="C103" s="1"/>
      <c r="D103" s="1"/>
      <c r="E103" s="7"/>
      <c r="F103" s="7">
        <f t="shared" si="6"/>
        <v>0</v>
      </c>
      <c r="G103" s="7"/>
      <c r="H103" s="7"/>
      <c r="I103" s="2" t="str">
        <f t="shared" si="7"/>
        <v/>
      </c>
      <c r="J103" s="1" t="str">
        <f t="shared" ca="1" si="8"/>
        <v/>
      </c>
      <c r="K103" s="3" t="str">
        <f t="shared" ca="1" si="9"/>
        <v/>
      </c>
      <c r="L103" s="1">
        <f t="shared" si="10"/>
        <v>0</v>
      </c>
      <c r="M103" s="1">
        <f t="shared" si="11"/>
        <v>0</v>
      </c>
    </row>
    <row r="104" spans="1:13" x14ac:dyDescent="0.25">
      <c r="A104" s="1"/>
      <c r="B104" s="2"/>
      <c r="C104" s="1"/>
      <c r="D104" s="1"/>
      <c r="E104" s="7"/>
      <c r="F104" s="7">
        <f t="shared" si="6"/>
        <v>0</v>
      </c>
      <c r="G104" s="7"/>
      <c r="H104" s="7"/>
      <c r="I104" s="2" t="str">
        <f t="shared" si="7"/>
        <v/>
      </c>
      <c r="J104" s="1" t="str">
        <f t="shared" ca="1" si="8"/>
        <v/>
      </c>
      <c r="K104" s="3" t="str">
        <f t="shared" ca="1" si="9"/>
        <v/>
      </c>
      <c r="L104" s="1">
        <f t="shared" si="10"/>
        <v>0</v>
      </c>
      <c r="M104" s="1">
        <f t="shared" si="11"/>
        <v>0</v>
      </c>
    </row>
    <row r="105" spans="1:13" x14ac:dyDescent="0.25">
      <c r="A105" s="1"/>
      <c r="B105" s="2"/>
      <c r="C105" s="1"/>
      <c r="D105" s="1"/>
      <c r="E105" s="7"/>
      <c r="F105" s="7">
        <f t="shared" si="6"/>
        <v>0</v>
      </c>
      <c r="G105" s="7"/>
      <c r="H105" s="7"/>
      <c r="I105" s="2" t="str">
        <f t="shared" si="7"/>
        <v/>
      </c>
      <c r="J105" s="1" t="str">
        <f t="shared" ca="1" si="8"/>
        <v/>
      </c>
      <c r="K105" s="3" t="str">
        <f t="shared" ca="1" si="9"/>
        <v/>
      </c>
      <c r="L105" s="1">
        <f t="shared" si="10"/>
        <v>0</v>
      </c>
      <c r="M105" s="1">
        <f t="shared" si="11"/>
        <v>0</v>
      </c>
    </row>
    <row r="106" spans="1:13" x14ac:dyDescent="0.25">
      <c r="A106" s="1"/>
      <c r="B106" s="2"/>
      <c r="C106" s="1"/>
      <c r="D106" s="1"/>
      <c r="E106" s="7"/>
      <c r="F106" s="7">
        <f t="shared" si="6"/>
        <v>0</v>
      </c>
      <c r="G106" s="7"/>
      <c r="H106" s="7"/>
      <c r="I106" s="2" t="str">
        <f t="shared" si="7"/>
        <v/>
      </c>
      <c r="J106" s="1" t="str">
        <f t="shared" ca="1" si="8"/>
        <v/>
      </c>
      <c r="K106" s="3" t="str">
        <f t="shared" ca="1" si="9"/>
        <v/>
      </c>
      <c r="L106" s="1">
        <f t="shared" si="10"/>
        <v>0</v>
      </c>
      <c r="M106" s="1">
        <f t="shared" si="11"/>
        <v>0</v>
      </c>
    </row>
    <row r="107" spans="1:13" x14ac:dyDescent="0.25">
      <c r="A107" s="1"/>
      <c r="B107" s="2"/>
      <c r="C107" s="1"/>
      <c r="D107" s="1"/>
      <c r="E107" s="7"/>
      <c r="F107" s="7">
        <f t="shared" si="6"/>
        <v>0</v>
      </c>
      <c r="G107" s="7"/>
      <c r="H107" s="7"/>
      <c r="I107" s="2" t="str">
        <f t="shared" si="7"/>
        <v/>
      </c>
      <c r="J107" s="1" t="str">
        <f t="shared" ca="1" si="8"/>
        <v/>
      </c>
      <c r="K107" s="3" t="str">
        <f t="shared" ca="1" si="9"/>
        <v/>
      </c>
      <c r="L107" s="1">
        <f t="shared" si="10"/>
        <v>0</v>
      </c>
      <c r="M107" s="1">
        <f t="shared" si="11"/>
        <v>0</v>
      </c>
    </row>
    <row r="108" spans="1:13" x14ac:dyDescent="0.25">
      <c r="A108" s="1"/>
      <c r="B108" s="2"/>
      <c r="C108" s="1"/>
      <c r="D108" s="1"/>
      <c r="E108" s="7"/>
      <c r="F108" s="7">
        <f t="shared" si="6"/>
        <v>0</v>
      </c>
      <c r="G108" s="7"/>
      <c r="H108" s="7"/>
      <c r="I108" s="2" t="str">
        <f t="shared" si="7"/>
        <v/>
      </c>
      <c r="J108" s="1" t="str">
        <f t="shared" ca="1" si="8"/>
        <v/>
      </c>
      <c r="K108" s="3" t="str">
        <f t="shared" ca="1" si="9"/>
        <v/>
      </c>
      <c r="L108" s="1">
        <f t="shared" si="10"/>
        <v>0</v>
      </c>
      <c r="M108" s="1">
        <f t="shared" si="11"/>
        <v>0</v>
      </c>
    </row>
    <row r="109" spans="1:13" x14ac:dyDescent="0.25">
      <c r="A109" s="1"/>
      <c r="B109" s="2"/>
      <c r="C109" s="1"/>
      <c r="D109" s="1"/>
      <c r="E109" s="7"/>
      <c r="F109" s="7">
        <f t="shared" si="6"/>
        <v>0</v>
      </c>
      <c r="G109" s="7"/>
      <c r="H109" s="7"/>
      <c r="I109" s="2" t="str">
        <f t="shared" si="7"/>
        <v/>
      </c>
      <c r="J109" s="1" t="str">
        <f t="shared" ca="1" si="8"/>
        <v/>
      </c>
      <c r="K109" s="3" t="str">
        <f t="shared" ca="1" si="9"/>
        <v/>
      </c>
      <c r="L109" s="1">
        <f t="shared" si="10"/>
        <v>0</v>
      </c>
      <c r="M109" s="1">
        <f t="shared" si="11"/>
        <v>0</v>
      </c>
    </row>
    <row r="110" spans="1:13" x14ac:dyDescent="0.25">
      <c r="A110" s="1"/>
      <c r="B110" s="2"/>
      <c r="C110" s="1"/>
      <c r="D110" s="1"/>
      <c r="E110" s="7"/>
      <c r="F110" s="7">
        <f t="shared" si="6"/>
        <v>0</v>
      </c>
      <c r="G110" s="7"/>
      <c r="H110" s="7"/>
      <c r="I110" s="2" t="str">
        <f t="shared" si="7"/>
        <v/>
      </c>
      <c r="J110" s="1" t="str">
        <f t="shared" ca="1" si="8"/>
        <v/>
      </c>
      <c r="K110" s="3" t="str">
        <f t="shared" ca="1" si="9"/>
        <v/>
      </c>
      <c r="L110" s="1">
        <f t="shared" si="10"/>
        <v>0</v>
      </c>
      <c r="M110" s="1">
        <f t="shared" si="11"/>
        <v>0</v>
      </c>
    </row>
    <row r="111" spans="1:13" x14ac:dyDescent="0.25">
      <c r="A111" s="1"/>
      <c r="B111" s="2"/>
      <c r="C111" s="1"/>
      <c r="D111" s="1"/>
      <c r="E111" s="7"/>
      <c r="F111" s="7">
        <f t="shared" si="6"/>
        <v>0</v>
      </c>
      <c r="G111" s="7"/>
      <c r="H111" s="7"/>
      <c r="I111" s="2" t="str">
        <f t="shared" si="7"/>
        <v/>
      </c>
      <c r="J111" s="1" t="str">
        <f t="shared" ca="1" si="8"/>
        <v/>
      </c>
      <c r="K111" s="3" t="str">
        <f t="shared" ca="1" si="9"/>
        <v/>
      </c>
      <c r="L111" s="1">
        <f t="shared" si="10"/>
        <v>0</v>
      </c>
      <c r="M111" s="1">
        <f t="shared" si="11"/>
        <v>0</v>
      </c>
    </row>
    <row r="112" spans="1:13" x14ac:dyDescent="0.25">
      <c r="A112" s="1"/>
      <c r="B112" s="2"/>
      <c r="C112" s="1"/>
      <c r="D112" s="1"/>
      <c r="E112" s="7"/>
      <c r="F112" s="7">
        <f t="shared" si="6"/>
        <v>0</v>
      </c>
      <c r="G112" s="7"/>
      <c r="H112" s="7"/>
      <c r="I112" s="2" t="str">
        <f t="shared" si="7"/>
        <v/>
      </c>
      <c r="J112" s="1" t="str">
        <f t="shared" ca="1" si="8"/>
        <v/>
      </c>
      <c r="K112" s="3" t="str">
        <f t="shared" ca="1" si="9"/>
        <v/>
      </c>
      <c r="L112" s="1">
        <f t="shared" si="10"/>
        <v>0</v>
      </c>
      <c r="M112" s="1">
        <f t="shared" si="11"/>
        <v>0</v>
      </c>
    </row>
    <row r="113" spans="1:13" x14ac:dyDescent="0.25">
      <c r="A113" s="1"/>
      <c r="B113" s="2"/>
      <c r="C113" s="1"/>
      <c r="D113" s="1"/>
      <c r="E113" s="7"/>
      <c r="F113" s="7">
        <f t="shared" si="6"/>
        <v>0</v>
      </c>
      <c r="G113" s="7"/>
      <c r="H113" s="7"/>
      <c r="I113" s="2" t="str">
        <f t="shared" si="7"/>
        <v/>
      </c>
      <c r="J113" s="1" t="str">
        <f t="shared" ca="1" si="8"/>
        <v/>
      </c>
      <c r="K113" s="3" t="str">
        <f t="shared" ca="1" si="9"/>
        <v/>
      </c>
      <c r="L113" s="1">
        <f t="shared" si="10"/>
        <v>0</v>
      </c>
      <c r="M113" s="1">
        <f t="shared" si="11"/>
        <v>0</v>
      </c>
    </row>
    <row r="114" spans="1:13" x14ac:dyDescent="0.25">
      <c r="A114" s="1"/>
      <c r="B114" s="2"/>
      <c r="C114" s="1"/>
      <c r="D114" s="1"/>
      <c r="E114" s="7"/>
      <c r="F114" s="7">
        <f t="shared" si="6"/>
        <v>0</v>
      </c>
      <c r="G114" s="7"/>
      <c r="H114" s="7"/>
      <c r="I114" s="2" t="str">
        <f t="shared" si="7"/>
        <v/>
      </c>
      <c r="J114" s="1" t="str">
        <f t="shared" ca="1" si="8"/>
        <v/>
      </c>
      <c r="K114" s="3" t="str">
        <f t="shared" ca="1" si="9"/>
        <v/>
      </c>
      <c r="L114" s="1">
        <f t="shared" si="10"/>
        <v>0</v>
      </c>
      <c r="M114" s="1">
        <f t="shared" si="11"/>
        <v>0</v>
      </c>
    </row>
    <row r="115" spans="1:13" x14ac:dyDescent="0.25">
      <c r="A115" s="1"/>
      <c r="B115" s="2"/>
      <c r="C115" s="1"/>
      <c r="D115" s="1"/>
      <c r="E115" s="7"/>
      <c r="F115" s="7">
        <f t="shared" si="6"/>
        <v>0</v>
      </c>
      <c r="G115" s="7"/>
      <c r="H115" s="7"/>
      <c r="I115" s="2" t="str">
        <f t="shared" si="7"/>
        <v/>
      </c>
      <c r="J115" s="1" t="str">
        <f t="shared" ca="1" si="8"/>
        <v/>
      </c>
      <c r="K115" s="3" t="str">
        <f t="shared" ca="1" si="9"/>
        <v/>
      </c>
      <c r="L115" s="1">
        <f t="shared" si="10"/>
        <v>0</v>
      </c>
      <c r="M115" s="1">
        <f t="shared" si="11"/>
        <v>0</v>
      </c>
    </row>
    <row r="116" spans="1:13" x14ac:dyDescent="0.25">
      <c r="A116" s="1"/>
      <c r="B116" s="2"/>
      <c r="C116" s="1"/>
      <c r="D116" s="1"/>
      <c r="E116" s="7"/>
      <c r="F116" s="7">
        <f t="shared" si="6"/>
        <v>0</v>
      </c>
      <c r="G116" s="7"/>
      <c r="H116" s="7"/>
      <c r="I116" s="2" t="str">
        <f t="shared" si="7"/>
        <v/>
      </c>
      <c r="J116" s="1" t="str">
        <f t="shared" ca="1" si="8"/>
        <v/>
      </c>
      <c r="K116" s="3" t="str">
        <f t="shared" ca="1" si="9"/>
        <v/>
      </c>
      <c r="L116" s="1">
        <f t="shared" si="10"/>
        <v>0</v>
      </c>
      <c r="M116" s="1">
        <f t="shared" si="11"/>
        <v>0</v>
      </c>
    </row>
    <row r="117" spans="1:13" x14ac:dyDescent="0.25">
      <c r="A117" s="1"/>
      <c r="B117" s="2"/>
      <c r="C117" s="1"/>
      <c r="D117" s="1"/>
      <c r="E117" s="7"/>
      <c r="F117" s="7">
        <f t="shared" si="6"/>
        <v>0</v>
      </c>
      <c r="G117" s="7"/>
      <c r="H117" s="7"/>
      <c r="I117" s="2" t="str">
        <f t="shared" si="7"/>
        <v/>
      </c>
      <c r="J117" s="1" t="str">
        <f t="shared" ca="1" si="8"/>
        <v/>
      </c>
      <c r="K117" s="3" t="str">
        <f t="shared" ca="1" si="9"/>
        <v/>
      </c>
      <c r="L117" s="1">
        <f t="shared" si="10"/>
        <v>0</v>
      </c>
      <c r="M117" s="1">
        <f t="shared" si="11"/>
        <v>0</v>
      </c>
    </row>
    <row r="118" spans="1:13" x14ac:dyDescent="0.25">
      <c r="A118" s="1"/>
      <c r="B118" s="2"/>
      <c r="C118" s="1"/>
      <c r="D118" s="1"/>
      <c r="E118" s="7"/>
      <c r="F118" s="7">
        <f t="shared" si="6"/>
        <v>0</v>
      </c>
      <c r="G118" s="7"/>
      <c r="H118" s="7"/>
      <c r="I118" s="2" t="str">
        <f t="shared" si="7"/>
        <v/>
      </c>
      <c r="J118" s="1" t="str">
        <f t="shared" ca="1" si="8"/>
        <v/>
      </c>
      <c r="K118" s="3" t="str">
        <f t="shared" ca="1" si="9"/>
        <v/>
      </c>
      <c r="L118" s="1">
        <f t="shared" si="10"/>
        <v>0</v>
      </c>
      <c r="M118" s="1">
        <f t="shared" si="11"/>
        <v>0</v>
      </c>
    </row>
    <row r="119" spans="1:13" x14ac:dyDescent="0.25">
      <c r="A119" s="1"/>
      <c r="B119" s="2"/>
      <c r="C119" s="1"/>
      <c r="D119" s="1"/>
      <c r="E119" s="7"/>
      <c r="F119" s="7">
        <f t="shared" si="6"/>
        <v>0</v>
      </c>
      <c r="G119" s="7"/>
      <c r="H119" s="7"/>
      <c r="I119" s="2" t="str">
        <f t="shared" si="7"/>
        <v/>
      </c>
      <c r="J119" s="1" t="str">
        <f t="shared" ca="1" si="8"/>
        <v/>
      </c>
      <c r="K119" s="3" t="str">
        <f t="shared" ca="1" si="9"/>
        <v/>
      </c>
      <c r="L119" s="1">
        <f t="shared" si="10"/>
        <v>0</v>
      </c>
      <c r="M119" s="1">
        <f t="shared" si="11"/>
        <v>0</v>
      </c>
    </row>
    <row r="120" spans="1:13" x14ac:dyDescent="0.25">
      <c r="A120" s="1"/>
      <c r="B120" s="2"/>
      <c r="C120" s="1"/>
      <c r="D120" s="1"/>
      <c r="E120" s="7"/>
      <c r="F120" s="7">
        <f t="shared" si="6"/>
        <v>0</v>
      </c>
      <c r="G120" s="7"/>
      <c r="H120" s="7"/>
      <c r="I120" s="2" t="str">
        <f t="shared" si="7"/>
        <v/>
      </c>
      <c r="J120" s="1" t="str">
        <f t="shared" ca="1" si="8"/>
        <v/>
      </c>
      <c r="K120" s="3" t="str">
        <f t="shared" ca="1" si="9"/>
        <v/>
      </c>
      <c r="L120" s="1">
        <f t="shared" si="10"/>
        <v>0</v>
      </c>
      <c r="M120" s="1">
        <f t="shared" si="11"/>
        <v>0</v>
      </c>
    </row>
    <row r="121" spans="1:13" x14ac:dyDescent="0.25">
      <c r="A121" s="1"/>
      <c r="B121" s="2"/>
      <c r="C121" s="1"/>
      <c r="D121" s="1"/>
      <c r="E121" s="7"/>
      <c r="F121" s="7">
        <f t="shared" si="6"/>
        <v>0</v>
      </c>
      <c r="G121" s="7"/>
      <c r="H121" s="7"/>
      <c r="I121" s="2" t="str">
        <f t="shared" si="7"/>
        <v/>
      </c>
      <c r="J121" s="1" t="str">
        <f t="shared" ca="1" si="8"/>
        <v/>
      </c>
      <c r="K121" s="3" t="str">
        <f t="shared" ca="1" si="9"/>
        <v/>
      </c>
      <c r="L121" s="1">
        <f t="shared" si="10"/>
        <v>0</v>
      </c>
      <c r="M121" s="1">
        <f t="shared" si="11"/>
        <v>0</v>
      </c>
    </row>
    <row r="122" spans="1:13" x14ac:dyDescent="0.25">
      <c r="A122" s="1"/>
      <c r="B122" s="2"/>
      <c r="C122" s="1"/>
      <c r="D122" s="1"/>
      <c r="E122" s="7"/>
      <c r="F122" s="7">
        <f t="shared" si="6"/>
        <v>0</v>
      </c>
      <c r="G122" s="7"/>
      <c r="H122" s="7"/>
      <c r="I122" s="2" t="str">
        <f t="shared" si="7"/>
        <v/>
      </c>
      <c r="J122" s="1" t="str">
        <f t="shared" ca="1" si="8"/>
        <v/>
      </c>
      <c r="K122" s="3" t="str">
        <f t="shared" ca="1" si="9"/>
        <v/>
      </c>
      <c r="L122" s="1">
        <f t="shared" si="10"/>
        <v>0</v>
      </c>
      <c r="M122" s="1">
        <f t="shared" si="11"/>
        <v>0</v>
      </c>
    </row>
    <row r="123" spans="1:13" x14ac:dyDescent="0.25">
      <c r="A123" s="1"/>
      <c r="B123" s="2"/>
      <c r="C123" s="1"/>
      <c r="D123" s="1"/>
      <c r="E123" s="7"/>
      <c r="F123" s="7">
        <f t="shared" si="6"/>
        <v>0</v>
      </c>
      <c r="G123" s="7"/>
      <c r="H123" s="7"/>
      <c r="I123" s="2" t="str">
        <f t="shared" si="7"/>
        <v/>
      </c>
      <c r="J123" s="1" t="str">
        <f t="shared" ca="1" si="8"/>
        <v/>
      </c>
      <c r="K123" s="3" t="str">
        <f t="shared" ca="1" si="9"/>
        <v/>
      </c>
      <c r="L123" s="1">
        <f t="shared" si="10"/>
        <v>0</v>
      </c>
      <c r="M123" s="1">
        <f t="shared" si="11"/>
        <v>0</v>
      </c>
    </row>
    <row r="124" spans="1:13" x14ac:dyDescent="0.25">
      <c r="A124" s="1"/>
      <c r="B124" s="2"/>
      <c r="C124" s="1"/>
      <c r="D124" s="1"/>
      <c r="E124" s="7"/>
      <c r="F124" s="7">
        <f t="shared" si="6"/>
        <v>0</v>
      </c>
      <c r="G124" s="7"/>
      <c r="H124" s="7"/>
      <c r="I124" s="2" t="str">
        <f t="shared" si="7"/>
        <v/>
      </c>
      <c r="J124" s="1" t="str">
        <f t="shared" ca="1" si="8"/>
        <v/>
      </c>
      <c r="K124" s="3" t="str">
        <f t="shared" ca="1" si="9"/>
        <v/>
      </c>
      <c r="L124" s="1">
        <f t="shared" si="10"/>
        <v>0</v>
      </c>
      <c r="M124" s="1">
        <f t="shared" si="11"/>
        <v>0</v>
      </c>
    </row>
    <row r="125" spans="1:13" x14ac:dyDescent="0.25">
      <c r="A125" s="1"/>
      <c r="B125" s="2"/>
      <c r="C125" s="1"/>
      <c r="D125" s="1"/>
      <c r="E125" s="7"/>
      <c r="F125" s="7">
        <f t="shared" si="6"/>
        <v>0</v>
      </c>
      <c r="G125" s="7"/>
      <c r="H125" s="7"/>
      <c r="I125" s="2" t="str">
        <f t="shared" si="7"/>
        <v/>
      </c>
      <c r="J125" s="1" t="str">
        <f t="shared" ca="1" si="8"/>
        <v/>
      </c>
      <c r="K125" s="3" t="str">
        <f t="shared" ca="1" si="9"/>
        <v/>
      </c>
      <c r="L125" s="1">
        <f t="shared" si="10"/>
        <v>0</v>
      </c>
      <c r="M125" s="1">
        <f t="shared" si="11"/>
        <v>0</v>
      </c>
    </row>
    <row r="126" spans="1:13" x14ac:dyDescent="0.25">
      <c r="A126" s="1"/>
      <c r="B126" s="2"/>
      <c r="C126" s="1"/>
      <c r="D126" s="1"/>
      <c r="E126" s="7"/>
      <c r="F126" s="7">
        <f t="shared" si="6"/>
        <v>0</v>
      </c>
      <c r="G126" s="7"/>
      <c r="H126" s="7"/>
      <c r="I126" s="2" t="str">
        <f t="shared" si="7"/>
        <v/>
      </c>
      <c r="J126" s="1" t="str">
        <f t="shared" ca="1" si="8"/>
        <v/>
      </c>
      <c r="K126" s="3" t="str">
        <f t="shared" ca="1" si="9"/>
        <v/>
      </c>
      <c r="L126" s="1">
        <f t="shared" si="10"/>
        <v>0</v>
      </c>
      <c r="M126" s="1">
        <f t="shared" si="11"/>
        <v>0</v>
      </c>
    </row>
    <row r="127" spans="1:13" x14ac:dyDescent="0.25">
      <c r="A127" s="1"/>
      <c r="B127" s="2"/>
      <c r="C127" s="1"/>
      <c r="D127" s="1"/>
      <c r="E127" s="7"/>
      <c r="F127" s="7">
        <f t="shared" si="6"/>
        <v>0</v>
      </c>
      <c r="G127" s="7"/>
      <c r="H127" s="7"/>
      <c r="I127" s="2" t="str">
        <f t="shared" si="7"/>
        <v/>
      </c>
      <c r="J127" s="1" t="str">
        <f t="shared" ca="1" si="8"/>
        <v/>
      </c>
      <c r="K127" s="3" t="str">
        <f t="shared" ca="1" si="9"/>
        <v/>
      </c>
      <c r="L127" s="1">
        <f t="shared" si="10"/>
        <v>0</v>
      </c>
      <c r="M127" s="1">
        <f t="shared" si="11"/>
        <v>0</v>
      </c>
    </row>
    <row r="128" spans="1:13" x14ac:dyDescent="0.25">
      <c r="A128" s="1"/>
      <c r="B128" s="2"/>
      <c r="C128" s="1"/>
      <c r="D128" s="1"/>
      <c r="E128" s="7"/>
      <c r="F128" s="7">
        <f t="shared" si="6"/>
        <v>0</v>
      </c>
      <c r="G128" s="7"/>
      <c r="H128" s="7"/>
      <c r="I128" s="2" t="str">
        <f t="shared" si="7"/>
        <v/>
      </c>
      <c r="J128" s="1" t="str">
        <f t="shared" ca="1" si="8"/>
        <v/>
      </c>
      <c r="K128" s="3" t="str">
        <f t="shared" ca="1" si="9"/>
        <v/>
      </c>
      <c r="L128" s="1">
        <f t="shared" si="10"/>
        <v>0</v>
      </c>
      <c r="M128" s="1">
        <f t="shared" si="11"/>
        <v>0</v>
      </c>
    </row>
    <row r="129" spans="1:13" x14ac:dyDescent="0.25">
      <c r="A129" s="1"/>
      <c r="B129" s="2"/>
      <c r="C129" s="1"/>
      <c r="D129" s="1"/>
      <c r="E129" s="7"/>
      <c r="F129" s="7">
        <f t="shared" si="6"/>
        <v>0</v>
      </c>
      <c r="G129" s="7"/>
      <c r="H129" s="7"/>
      <c r="I129" s="2" t="str">
        <f t="shared" si="7"/>
        <v/>
      </c>
      <c r="J129" s="1" t="str">
        <f t="shared" ca="1" si="8"/>
        <v/>
      </c>
      <c r="K129" s="3" t="str">
        <f t="shared" ca="1" si="9"/>
        <v/>
      </c>
      <c r="L129" s="1">
        <f t="shared" si="10"/>
        <v>0</v>
      </c>
      <c r="M129" s="1">
        <f t="shared" si="11"/>
        <v>0</v>
      </c>
    </row>
    <row r="130" spans="1:13" x14ac:dyDescent="0.25">
      <c r="A130" s="1"/>
      <c r="B130" s="2"/>
      <c r="C130" s="1"/>
      <c r="D130" s="1"/>
      <c r="E130" s="7"/>
      <c r="F130" s="7">
        <f t="shared" ref="F130:F193" si="12">G130-H130</f>
        <v>0</v>
      </c>
      <c r="G130" s="7"/>
      <c r="H130" s="7"/>
      <c r="I130" s="2" t="str">
        <f t="shared" ref="I130:I193" si="13">IF(F130=0,"",IF(C130="CRED",B130+(INT((G130-F130)/E130)+1)*D130,B130+INT((G130-F130)/E130)*D130))</f>
        <v/>
      </c>
      <c r="J130" s="1" t="str">
        <f t="shared" ref="J130:J193" ca="1" si="14">IF(I130="","",I130-TODAY())</f>
        <v/>
      </c>
      <c r="K130" s="3" t="str">
        <f t="shared" ref="K130:K193" ca="1" si="15">IF(J130="","",IF(J130&lt;0,"VENCIDO",IF(J130&lt;=1,"PRÓXIMO","VIGENTE")))</f>
        <v/>
      </c>
      <c r="L130" s="1">
        <f t="shared" ref="L130:L193" si="16">IF(F130=G130,0,INT((G130-F130)/E130))</f>
        <v>0</v>
      </c>
      <c r="M130" s="1">
        <f t="shared" ref="M130:M193" si="17">IF(F130=0,0,INT(F130/E130)+(IF(MOD(F130,E130)&gt;0,1,0)))</f>
        <v>0</v>
      </c>
    </row>
    <row r="131" spans="1:13" x14ac:dyDescent="0.25">
      <c r="A131" s="1"/>
      <c r="B131" s="2"/>
      <c r="C131" s="1"/>
      <c r="D131" s="1"/>
      <c r="E131" s="7"/>
      <c r="F131" s="7">
        <f t="shared" si="12"/>
        <v>0</v>
      </c>
      <c r="G131" s="7"/>
      <c r="H131" s="7"/>
      <c r="I131" s="2" t="str">
        <f t="shared" si="13"/>
        <v/>
      </c>
      <c r="J131" s="1" t="str">
        <f t="shared" ca="1" si="14"/>
        <v/>
      </c>
      <c r="K131" s="3" t="str">
        <f t="shared" ca="1" si="15"/>
        <v/>
      </c>
      <c r="L131" s="1">
        <f t="shared" si="16"/>
        <v>0</v>
      </c>
      <c r="M131" s="1">
        <f t="shared" si="17"/>
        <v>0</v>
      </c>
    </row>
    <row r="132" spans="1:13" x14ac:dyDescent="0.25">
      <c r="A132" s="1"/>
      <c r="B132" s="2"/>
      <c r="C132" s="1"/>
      <c r="D132" s="1"/>
      <c r="E132" s="7"/>
      <c r="F132" s="7">
        <f t="shared" si="12"/>
        <v>0</v>
      </c>
      <c r="G132" s="7"/>
      <c r="H132" s="7"/>
      <c r="I132" s="2" t="str">
        <f t="shared" si="13"/>
        <v/>
      </c>
      <c r="J132" s="1" t="str">
        <f t="shared" ca="1" si="14"/>
        <v/>
      </c>
      <c r="K132" s="3" t="str">
        <f t="shared" ca="1" si="15"/>
        <v/>
      </c>
      <c r="L132" s="1">
        <f t="shared" si="16"/>
        <v>0</v>
      </c>
      <c r="M132" s="1">
        <f t="shared" si="17"/>
        <v>0</v>
      </c>
    </row>
    <row r="133" spans="1:13" x14ac:dyDescent="0.25">
      <c r="A133" s="1"/>
      <c r="B133" s="2"/>
      <c r="C133" s="1"/>
      <c r="D133" s="1"/>
      <c r="E133" s="7"/>
      <c r="F133" s="7">
        <f t="shared" si="12"/>
        <v>0</v>
      </c>
      <c r="G133" s="7"/>
      <c r="H133" s="7"/>
      <c r="I133" s="2" t="str">
        <f t="shared" si="13"/>
        <v/>
      </c>
      <c r="J133" s="1" t="str">
        <f t="shared" ca="1" si="14"/>
        <v/>
      </c>
      <c r="K133" s="3" t="str">
        <f t="shared" ca="1" si="15"/>
        <v/>
      </c>
      <c r="L133" s="1">
        <f t="shared" si="16"/>
        <v>0</v>
      </c>
      <c r="M133" s="1">
        <f t="shared" si="17"/>
        <v>0</v>
      </c>
    </row>
    <row r="134" spans="1:13" x14ac:dyDescent="0.25">
      <c r="A134" s="1"/>
      <c r="B134" s="2"/>
      <c r="C134" s="1"/>
      <c r="D134" s="1"/>
      <c r="E134" s="7"/>
      <c r="F134" s="7">
        <f t="shared" si="12"/>
        <v>0</v>
      </c>
      <c r="G134" s="7"/>
      <c r="H134" s="7"/>
      <c r="I134" s="2" t="str">
        <f t="shared" si="13"/>
        <v/>
      </c>
      <c r="J134" s="1" t="str">
        <f t="shared" ca="1" si="14"/>
        <v/>
      </c>
      <c r="K134" s="3" t="str">
        <f t="shared" ca="1" si="15"/>
        <v/>
      </c>
      <c r="L134" s="1">
        <f t="shared" si="16"/>
        <v>0</v>
      </c>
      <c r="M134" s="1">
        <f t="shared" si="17"/>
        <v>0</v>
      </c>
    </row>
    <row r="135" spans="1:13" x14ac:dyDescent="0.25">
      <c r="A135" s="1"/>
      <c r="B135" s="2"/>
      <c r="C135" s="1"/>
      <c r="D135" s="1"/>
      <c r="E135" s="7"/>
      <c r="F135" s="7">
        <f t="shared" si="12"/>
        <v>0</v>
      </c>
      <c r="G135" s="7"/>
      <c r="H135" s="7"/>
      <c r="I135" s="2" t="str">
        <f t="shared" si="13"/>
        <v/>
      </c>
      <c r="J135" s="1" t="str">
        <f t="shared" ca="1" si="14"/>
        <v/>
      </c>
      <c r="K135" s="3" t="str">
        <f t="shared" ca="1" si="15"/>
        <v/>
      </c>
      <c r="L135" s="1">
        <f t="shared" si="16"/>
        <v>0</v>
      </c>
      <c r="M135" s="1">
        <f t="shared" si="17"/>
        <v>0</v>
      </c>
    </row>
    <row r="136" spans="1:13" x14ac:dyDescent="0.25">
      <c r="A136" s="1"/>
      <c r="B136" s="2"/>
      <c r="C136" s="1"/>
      <c r="D136" s="1"/>
      <c r="E136" s="7"/>
      <c r="F136" s="7">
        <f t="shared" si="12"/>
        <v>0</v>
      </c>
      <c r="G136" s="7"/>
      <c r="H136" s="7"/>
      <c r="I136" s="2" t="str">
        <f t="shared" si="13"/>
        <v/>
      </c>
      <c r="J136" s="1" t="str">
        <f t="shared" ca="1" si="14"/>
        <v/>
      </c>
      <c r="K136" s="3" t="str">
        <f t="shared" ca="1" si="15"/>
        <v/>
      </c>
      <c r="L136" s="1">
        <f t="shared" si="16"/>
        <v>0</v>
      </c>
      <c r="M136" s="1">
        <f t="shared" si="17"/>
        <v>0</v>
      </c>
    </row>
    <row r="137" spans="1:13" x14ac:dyDescent="0.25">
      <c r="A137" s="1"/>
      <c r="B137" s="2"/>
      <c r="C137" s="1"/>
      <c r="D137" s="1"/>
      <c r="E137" s="7"/>
      <c r="F137" s="7">
        <f t="shared" si="12"/>
        <v>0</v>
      </c>
      <c r="G137" s="7"/>
      <c r="H137" s="7"/>
      <c r="I137" s="2" t="str">
        <f t="shared" si="13"/>
        <v/>
      </c>
      <c r="J137" s="1" t="str">
        <f t="shared" ca="1" si="14"/>
        <v/>
      </c>
      <c r="K137" s="3" t="str">
        <f t="shared" ca="1" si="15"/>
        <v/>
      </c>
      <c r="L137" s="1">
        <f t="shared" si="16"/>
        <v>0</v>
      </c>
      <c r="M137" s="1">
        <f t="shared" si="17"/>
        <v>0</v>
      </c>
    </row>
    <row r="138" spans="1:13" x14ac:dyDescent="0.25">
      <c r="A138" s="1"/>
      <c r="B138" s="2"/>
      <c r="C138" s="1"/>
      <c r="D138" s="1"/>
      <c r="E138" s="7"/>
      <c r="F138" s="7">
        <f t="shared" si="12"/>
        <v>0</v>
      </c>
      <c r="G138" s="7"/>
      <c r="H138" s="7"/>
      <c r="I138" s="2" t="str">
        <f t="shared" si="13"/>
        <v/>
      </c>
      <c r="J138" s="1" t="str">
        <f t="shared" ca="1" si="14"/>
        <v/>
      </c>
      <c r="K138" s="3" t="str">
        <f t="shared" ca="1" si="15"/>
        <v/>
      </c>
      <c r="L138" s="1">
        <f t="shared" si="16"/>
        <v>0</v>
      </c>
      <c r="M138" s="1">
        <f t="shared" si="17"/>
        <v>0</v>
      </c>
    </row>
    <row r="139" spans="1:13" x14ac:dyDescent="0.25">
      <c r="A139" s="1"/>
      <c r="B139" s="2"/>
      <c r="C139" s="1"/>
      <c r="D139" s="1"/>
      <c r="E139" s="7"/>
      <c r="F139" s="7">
        <f t="shared" si="12"/>
        <v>0</v>
      </c>
      <c r="G139" s="7"/>
      <c r="H139" s="7"/>
      <c r="I139" s="2" t="str">
        <f t="shared" si="13"/>
        <v/>
      </c>
      <c r="J139" s="1" t="str">
        <f t="shared" ca="1" si="14"/>
        <v/>
      </c>
      <c r="K139" s="3" t="str">
        <f t="shared" ca="1" si="15"/>
        <v/>
      </c>
      <c r="L139" s="1">
        <f t="shared" si="16"/>
        <v>0</v>
      </c>
      <c r="M139" s="1">
        <f t="shared" si="17"/>
        <v>0</v>
      </c>
    </row>
    <row r="140" spans="1:13" x14ac:dyDescent="0.25">
      <c r="A140" s="1"/>
      <c r="B140" s="2"/>
      <c r="C140" s="1"/>
      <c r="D140" s="1"/>
      <c r="E140" s="7"/>
      <c r="F140" s="7">
        <f t="shared" si="12"/>
        <v>0</v>
      </c>
      <c r="G140" s="7"/>
      <c r="H140" s="7"/>
      <c r="I140" s="2" t="str">
        <f t="shared" si="13"/>
        <v/>
      </c>
      <c r="J140" s="1" t="str">
        <f t="shared" ca="1" si="14"/>
        <v/>
      </c>
      <c r="K140" s="3" t="str">
        <f t="shared" ca="1" si="15"/>
        <v/>
      </c>
      <c r="L140" s="1">
        <f t="shared" si="16"/>
        <v>0</v>
      </c>
      <c r="M140" s="1">
        <f t="shared" si="17"/>
        <v>0</v>
      </c>
    </row>
    <row r="141" spans="1:13" x14ac:dyDescent="0.25">
      <c r="A141" s="1"/>
      <c r="B141" s="2"/>
      <c r="C141" s="1"/>
      <c r="D141" s="1"/>
      <c r="E141" s="7"/>
      <c r="F141" s="7">
        <f t="shared" si="12"/>
        <v>0</v>
      </c>
      <c r="G141" s="7"/>
      <c r="H141" s="7"/>
      <c r="I141" s="2" t="str">
        <f t="shared" si="13"/>
        <v/>
      </c>
      <c r="J141" s="1" t="str">
        <f t="shared" ca="1" si="14"/>
        <v/>
      </c>
      <c r="K141" s="3" t="str">
        <f t="shared" ca="1" si="15"/>
        <v/>
      </c>
      <c r="L141" s="1">
        <f t="shared" si="16"/>
        <v>0</v>
      </c>
      <c r="M141" s="1">
        <f t="shared" si="17"/>
        <v>0</v>
      </c>
    </row>
    <row r="142" spans="1:13" x14ac:dyDescent="0.25">
      <c r="A142" s="1"/>
      <c r="B142" s="2"/>
      <c r="C142" s="1"/>
      <c r="D142" s="1"/>
      <c r="E142" s="7"/>
      <c r="F142" s="7">
        <f t="shared" si="12"/>
        <v>0</v>
      </c>
      <c r="G142" s="7"/>
      <c r="H142" s="7"/>
      <c r="I142" s="2" t="str">
        <f t="shared" si="13"/>
        <v/>
      </c>
      <c r="J142" s="1" t="str">
        <f t="shared" ca="1" si="14"/>
        <v/>
      </c>
      <c r="K142" s="3" t="str">
        <f t="shared" ca="1" si="15"/>
        <v/>
      </c>
      <c r="L142" s="1">
        <f t="shared" si="16"/>
        <v>0</v>
      </c>
      <c r="M142" s="1">
        <f t="shared" si="17"/>
        <v>0</v>
      </c>
    </row>
    <row r="143" spans="1:13" x14ac:dyDescent="0.25">
      <c r="A143" s="1"/>
      <c r="B143" s="2"/>
      <c r="C143" s="1"/>
      <c r="D143" s="1"/>
      <c r="E143" s="7"/>
      <c r="F143" s="7">
        <f t="shared" si="12"/>
        <v>0</v>
      </c>
      <c r="G143" s="7"/>
      <c r="H143" s="7"/>
      <c r="I143" s="2" t="str">
        <f t="shared" si="13"/>
        <v/>
      </c>
      <c r="J143" s="1" t="str">
        <f t="shared" ca="1" si="14"/>
        <v/>
      </c>
      <c r="K143" s="3" t="str">
        <f t="shared" ca="1" si="15"/>
        <v/>
      </c>
      <c r="L143" s="1">
        <f t="shared" si="16"/>
        <v>0</v>
      </c>
      <c r="M143" s="1">
        <f t="shared" si="17"/>
        <v>0</v>
      </c>
    </row>
    <row r="144" spans="1:13" x14ac:dyDescent="0.25">
      <c r="A144" s="1"/>
      <c r="B144" s="2"/>
      <c r="C144" s="1"/>
      <c r="D144" s="1"/>
      <c r="E144" s="7"/>
      <c r="F144" s="7">
        <f t="shared" si="12"/>
        <v>0</v>
      </c>
      <c r="G144" s="7"/>
      <c r="H144" s="7"/>
      <c r="I144" s="2" t="str">
        <f t="shared" si="13"/>
        <v/>
      </c>
      <c r="J144" s="1" t="str">
        <f t="shared" ca="1" si="14"/>
        <v/>
      </c>
      <c r="K144" s="3" t="str">
        <f t="shared" ca="1" si="15"/>
        <v/>
      </c>
      <c r="L144" s="1">
        <f t="shared" si="16"/>
        <v>0</v>
      </c>
      <c r="M144" s="1">
        <f t="shared" si="17"/>
        <v>0</v>
      </c>
    </row>
    <row r="145" spans="1:13" x14ac:dyDescent="0.25">
      <c r="A145" s="1"/>
      <c r="B145" s="2"/>
      <c r="C145" s="1"/>
      <c r="D145" s="1"/>
      <c r="E145" s="7"/>
      <c r="F145" s="7">
        <f t="shared" si="12"/>
        <v>0</v>
      </c>
      <c r="G145" s="7"/>
      <c r="H145" s="7"/>
      <c r="I145" s="2" t="str">
        <f t="shared" si="13"/>
        <v/>
      </c>
      <c r="J145" s="1" t="str">
        <f t="shared" ca="1" si="14"/>
        <v/>
      </c>
      <c r="K145" s="3" t="str">
        <f t="shared" ca="1" si="15"/>
        <v/>
      </c>
      <c r="L145" s="1">
        <f t="shared" si="16"/>
        <v>0</v>
      </c>
      <c r="M145" s="1">
        <f t="shared" si="17"/>
        <v>0</v>
      </c>
    </row>
    <row r="146" spans="1:13" x14ac:dyDescent="0.25">
      <c r="A146" s="1"/>
      <c r="B146" s="2"/>
      <c r="C146" s="1"/>
      <c r="D146" s="1"/>
      <c r="E146" s="7"/>
      <c r="F146" s="7">
        <f t="shared" si="12"/>
        <v>0</v>
      </c>
      <c r="G146" s="7"/>
      <c r="H146" s="7"/>
      <c r="I146" s="2" t="str">
        <f t="shared" si="13"/>
        <v/>
      </c>
      <c r="J146" s="1" t="str">
        <f t="shared" ca="1" si="14"/>
        <v/>
      </c>
      <c r="K146" s="3" t="str">
        <f t="shared" ca="1" si="15"/>
        <v/>
      </c>
      <c r="L146" s="1">
        <f t="shared" si="16"/>
        <v>0</v>
      </c>
      <c r="M146" s="1">
        <f t="shared" si="17"/>
        <v>0</v>
      </c>
    </row>
    <row r="147" spans="1:13" x14ac:dyDescent="0.25">
      <c r="A147" s="1"/>
      <c r="B147" s="2"/>
      <c r="C147" s="1"/>
      <c r="D147" s="1"/>
      <c r="E147" s="7"/>
      <c r="F147" s="7">
        <f t="shared" si="12"/>
        <v>0</v>
      </c>
      <c r="G147" s="7"/>
      <c r="H147" s="7"/>
      <c r="I147" s="2" t="str">
        <f t="shared" si="13"/>
        <v/>
      </c>
      <c r="J147" s="1" t="str">
        <f t="shared" ca="1" si="14"/>
        <v/>
      </c>
      <c r="K147" s="3" t="str">
        <f t="shared" ca="1" si="15"/>
        <v/>
      </c>
      <c r="L147" s="1">
        <f t="shared" si="16"/>
        <v>0</v>
      </c>
      <c r="M147" s="1">
        <f t="shared" si="17"/>
        <v>0</v>
      </c>
    </row>
    <row r="148" spans="1:13" x14ac:dyDescent="0.25">
      <c r="A148" s="1"/>
      <c r="B148" s="2"/>
      <c r="C148" s="1"/>
      <c r="D148" s="1"/>
      <c r="E148" s="7"/>
      <c r="F148" s="7">
        <f t="shared" si="12"/>
        <v>0</v>
      </c>
      <c r="G148" s="7"/>
      <c r="H148" s="7"/>
      <c r="I148" s="2" t="str">
        <f t="shared" si="13"/>
        <v/>
      </c>
      <c r="J148" s="1" t="str">
        <f t="shared" ca="1" si="14"/>
        <v/>
      </c>
      <c r="K148" s="3" t="str">
        <f t="shared" ca="1" si="15"/>
        <v/>
      </c>
      <c r="L148" s="1">
        <f t="shared" si="16"/>
        <v>0</v>
      </c>
      <c r="M148" s="1">
        <f t="shared" si="17"/>
        <v>0</v>
      </c>
    </row>
    <row r="149" spans="1:13" x14ac:dyDescent="0.25">
      <c r="A149" s="1"/>
      <c r="B149" s="2"/>
      <c r="C149" s="1"/>
      <c r="D149" s="1"/>
      <c r="E149" s="7"/>
      <c r="F149" s="7">
        <f t="shared" si="12"/>
        <v>0</v>
      </c>
      <c r="G149" s="7"/>
      <c r="H149" s="7"/>
      <c r="I149" s="2" t="str">
        <f t="shared" si="13"/>
        <v/>
      </c>
      <c r="J149" s="1" t="str">
        <f t="shared" ca="1" si="14"/>
        <v/>
      </c>
      <c r="K149" s="3" t="str">
        <f t="shared" ca="1" si="15"/>
        <v/>
      </c>
      <c r="L149" s="1">
        <f t="shared" si="16"/>
        <v>0</v>
      </c>
      <c r="M149" s="1">
        <f t="shared" si="17"/>
        <v>0</v>
      </c>
    </row>
    <row r="150" spans="1:13" x14ac:dyDescent="0.25">
      <c r="A150" s="1"/>
      <c r="B150" s="2"/>
      <c r="C150" s="1"/>
      <c r="D150" s="1"/>
      <c r="E150" s="7"/>
      <c r="F150" s="7">
        <f t="shared" si="12"/>
        <v>0</v>
      </c>
      <c r="G150" s="7"/>
      <c r="H150" s="7"/>
      <c r="I150" s="2" t="str">
        <f t="shared" si="13"/>
        <v/>
      </c>
      <c r="J150" s="1" t="str">
        <f t="shared" ca="1" si="14"/>
        <v/>
      </c>
      <c r="K150" s="3" t="str">
        <f t="shared" ca="1" si="15"/>
        <v/>
      </c>
      <c r="L150" s="1">
        <f t="shared" si="16"/>
        <v>0</v>
      </c>
      <c r="M150" s="1">
        <f t="shared" si="17"/>
        <v>0</v>
      </c>
    </row>
    <row r="151" spans="1:13" x14ac:dyDescent="0.25">
      <c r="A151" s="1"/>
      <c r="B151" s="2"/>
      <c r="C151" s="1"/>
      <c r="D151" s="1"/>
      <c r="E151" s="7"/>
      <c r="F151" s="7">
        <f t="shared" si="12"/>
        <v>0</v>
      </c>
      <c r="G151" s="7"/>
      <c r="H151" s="7"/>
      <c r="I151" s="2" t="str">
        <f t="shared" si="13"/>
        <v/>
      </c>
      <c r="J151" s="1" t="str">
        <f t="shared" ca="1" si="14"/>
        <v/>
      </c>
      <c r="K151" s="3" t="str">
        <f t="shared" ca="1" si="15"/>
        <v/>
      </c>
      <c r="L151" s="1">
        <f t="shared" si="16"/>
        <v>0</v>
      </c>
      <c r="M151" s="1">
        <f t="shared" si="17"/>
        <v>0</v>
      </c>
    </row>
    <row r="152" spans="1:13" x14ac:dyDescent="0.25">
      <c r="A152" s="1"/>
      <c r="B152" s="2"/>
      <c r="C152" s="1"/>
      <c r="D152" s="1"/>
      <c r="E152" s="7"/>
      <c r="F152" s="7">
        <f t="shared" si="12"/>
        <v>0</v>
      </c>
      <c r="G152" s="7"/>
      <c r="H152" s="7"/>
      <c r="I152" s="2" t="str">
        <f t="shared" si="13"/>
        <v/>
      </c>
      <c r="J152" s="1" t="str">
        <f t="shared" ca="1" si="14"/>
        <v/>
      </c>
      <c r="K152" s="3" t="str">
        <f t="shared" ca="1" si="15"/>
        <v/>
      </c>
      <c r="L152" s="1">
        <f t="shared" si="16"/>
        <v>0</v>
      </c>
      <c r="M152" s="1">
        <f t="shared" si="17"/>
        <v>0</v>
      </c>
    </row>
    <row r="153" spans="1:13" x14ac:dyDescent="0.25">
      <c r="A153" s="1"/>
      <c r="B153" s="2"/>
      <c r="C153" s="1"/>
      <c r="D153" s="1"/>
      <c r="E153" s="7"/>
      <c r="F153" s="7">
        <f t="shared" si="12"/>
        <v>0</v>
      </c>
      <c r="G153" s="7"/>
      <c r="H153" s="7"/>
      <c r="I153" s="2" t="str">
        <f t="shared" si="13"/>
        <v/>
      </c>
      <c r="J153" s="1" t="str">
        <f t="shared" ca="1" si="14"/>
        <v/>
      </c>
      <c r="K153" s="3" t="str">
        <f t="shared" ca="1" si="15"/>
        <v/>
      </c>
      <c r="L153" s="1">
        <f t="shared" si="16"/>
        <v>0</v>
      </c>
      <c r="M153" s="1">
        <f t="shared" si="17"/>
        <v>0</v>
      </c>
    </row>
    <row r="154" spans="1:13" x14ac:dyDescent="0.25">
      <c r="A154" s="1"/>
      <c r="B154" s="2"/>
      <c r="C154" s="1"/>
      <c r="D154" s="1"/>
      <c r="E154" s="7"/>
      <c r="F154" s="7">
        <f t="shared" si="12"/>
        <v>0</v>
      </c>
      <c r="G154" s="7"/>
      <c r="H154" s="7"/>
      <c r="I154" s="2" t="str">
        <f t="shared" si="13"/>
        <v/>
      </c>
      <c r="J154" s="1" t="str">
        <f t="shared" ca="1" si="14"/>
        <v/>
      </c>
      <c r="K154" s="3" t="str">
        <f t="shared" ca="1" si="15"/>
        <v/>
      </c>
      <c r="L154" s="1">
        <f t="shared" si="16"/>
        <v>0</v>
      </c>
      <c r="M154" s="1">
        <f t="shared" si="17"/>
        <v>0</v>
      </c>
    </row>
    <row r="155" spans="1:13" x14ac:dyDescent="0.25">
      <c r="A155" s="1"/>
      <c r="B155" s="2"/>
      <c r="C155" s="1"/>
      <c r="D155" s="1"/>
      <c r="E155" s="7"/>
      <c r="F155" s="7">
        <f t="shared" si="12"/>
        <v>0</v>
      </c>
      <c r="G155" s="7"/>
      <c r="H155" s="7"/>
      <c r="I155" s="2" t="str">
        <f t="shared" si="13"/>
        <v/>
      </c>
      <c r="J155" s="1" t="str">
        <f t="shared" ca="1" si="14"/>
        <v/>
      </c>
      <c r="K155" s="3" t="str">
        <f t="shared" ca="1" si="15"/>
        <v/>
      </c>
      <c r="L155" s="1">
        <f t="shared" si="16"/>
        <v>0</v>
      </c>
      <c r="M155" s="1">
        <f t="shared" si="17"/>
        <v>0</v>
      </c>
    </row>
    <row r="156" spans="1:13" x14ac:dyDescent="0.25">
      <c r="A156" s="1"/>
      <c r="B156" s="2"/>
      <c r="C156" s="1"/>
      <c r="D156" s="1"/>
      <c r="E156" s="7"/>
      <c r="F156" s="7">
        <f t="shared" si="12"/>
        <v>0</v>
      </c>
      <c r="G156" s="7"/>
      <c r="H156" s="7"/>
      <c r="I156" s="2" t="str">
        <f t="shared" si="13"/>
        <v/>
      </c>
      <c r="J156" s="1" t="str">
        <f t="shared" ca="1" si="14"/>
        <v/>
      </c>
      <c r="K156" s="3" t="str">
        <f t="shared" ca="1" si="15"/>
        <v/>
      </c>
      <c r="L156" s="1">
        <f t="shared" si="16"/>
        <v>0</v>
      </c>
      <c r="M156" s="1">
        <f t="shared" si="17"/>
        <v>0</v>
      </c>
    </row>
    <row r="157" spans="1:13" x14ac:dyDescent="0.25">
      <c r="A157" s="1"/>
      <c r="B157" s="2"/>
      <c r="C157" s="1"/>
      <c r="D157" s="1"/>
      <c r="E157" s="7"/>
      <c r="F157" s="7">
        <f t="shared" si="12"/>
        <v>0</v>
      </c>
      <c r="G157" s="7"/>
      <c r="H157" s="7"/>
      <c r="I157" s="2" t="str">
        <f t="shared" si="13"/>
        <v/>
      </c>
      <c r="J157" s="1" t="str">
        <f t="shared" ca="1" si="14"/>
        <v/>
      </c>
      <c r="K157" s="3" t="str">
        <f t="shared" ca="1" si="15"/>
        <v/>
      </c>
      <c r="L157" s="1">
        <f t="shared" si="16"/>
        <v>0</v>
      </c>
      <c r="M157" s="1">
        <f t="shared" si="17"/>
        <v>0</v>
      </c>
    </row>
    <row r="158" spans="1:13" x14ac:dyDescent="0.25">
      <c r="A158" s="1"/>
      <c r="B158" s="2"/>
      <c r="C158" s="1"/>
      <c r="D158" s="1"/>
      <c r="E158" s="7"/>
      <c r="F158" s="7">
        <f t="shared" si="12"/>
        <v>0</v>
      </c>
      <c r="G158" s="7"/>
      <c r="H158" s="7"/>
      <c r="I158" s="2" t="str">
        <f t="shared" si="13"/>
        <v/>
      </c>
      <c r="J158" s="1" t="str">
        <f t="shared" ca="1" si="14"/>
        <v/>
      </c>
      <c r="K158" s="3" t="str">
        <f t="shared" ca="1" si="15"/>
        <v/>
      </c>
      <c r="L158" s="1">
        <f t="shared" si="16"/>
        <v>0</v>
      </c>
      <c r="M158" s="1">
        <f t="shared" si="17"/>
        <v>0</v>
      </c>
    </row>
    <row r="159" spans="1:13" x14ac:dyDescent="0.25">
      <c r="A159" s="1"/>
      <c r="B159" s="2"/>
      <c r="C159" s="1"/>
      <c r="D159" s="1"/>
      <c r="E159" s="7"/>
      <c r="F159" s="7">
        <f t="shared" si="12"/>
        <v>0</v>
      </c>
      <c r="G159" s="7"/>
      <c r="H159" s="7"/>
      <c r="I159" s="2" t="str">
        <f t="shared" si="13"/>
        <v/>
      </c>
      <c r="J159" s="1" t="str">
        <f t="shared" ca="1" si="14"/>
        <v/>
      </c>
      <c r="K159" s="3" t="str">
        <f t="shared" ca="1" si="15"/>
        <v/>
      </c>
      <c r="L159" s="1">
        <f t="shared" si="16"/>
        <v>0</v>
      </c>
      <c r="M159" s="1">
        <f t="shared" si="17"/>
        <v>0</v>
      </c>
    </row>
    <row r="160" spans="1:13" x14ac:dyDescent="0.25">
      <c r="A160" s="1"/>
      <c r="B160" s="2"/>
      <c r="C160" s="1"/>
      <c r="D160" s="1"/>
      <c r="E160" s="7"/>
      <c r="F160" s="7">
        <f t="shared" si="12"/>
        <v>0</v>
      </c>
      <c r="G160" s="7"/>
      <c r="H160" s="7"/>
      <c r="I160" s="2" t="str">
        <f t="shared" si="13"/>
        <v/>
      </c>
      <c r="J160" s="1" t="str">
        <f t="shared" ca="1" si="14"/>
        <v/>
      </c>
      <c r="K160" s="3" t="str">
        <f t="shared" ca="1" si="15"/>
        <v/>
      </c>
      <c r="L160" s="1">
        <f t="shared" si="16"/>
        <v>0</v>
      </c>
      <c r="M160" s="1">
        <f t="shared" si="17"/>
        <v>0</v>
      </c>
    </row>
    <row r="161" spans="1:13" x14ac:dyDescent="0.25">
      <c r="A161" s="1"/>
      <c r="B161" s="2"/>
      <c r="C161" s="1"/>
      <c r="D161" s="1"/>
      <c r="E161" s="7"/>
      <c r="F161" s="7">
        <f t="shared" si="12"/>
        <v>0</v>
      </c>
      <c r="G161" s="7"/>
      <c r="H161" s="7"/>
      <c r="I161" s="2" t="str">
        <f t="shared" si="13"/>
        <v/>
      </c>
      <c r="J161" s="1" t="str">
        <f t="shared" ca="1" si="14"/>
        <v/>
      </c>
      <c r="K161" s="3" t="str">
        <f t="shared" ca="1" si="15"/>
        <v/>
      </c>
      <c r="L161" s="1">
        <f t="shared" si="16"/>
        <v>0</v>
      </c>
      <c r="M161" s="1">
        <f t="shared" si="17"/>
        <v>0</v>
      </c>
    </row>
    <row r="162" spans="1:13" x14ac:dyDescent="0.25">
      <c r="A162" s="1"/>
      <c r="B162" s="2"/>
      <c r="C162" s="1"/>
      <c r="D162" s="1"/>
      <c r="E162" s="7"/>
      <c r="F162" s="7">
        <f t="shared" si="12"/>
        <v>0</v>
      </c>
      <c r="G162" s="7"/>
      <c r="H162" s="7"/>
      <c r="I162" s="2" t="str">
        <f t="shared" si="13"/>
        <v/>
      </c>
      <c r="J162" s="1" t="str">
        <f t="shared" ca="1" si="14"/>
        <v/>
      </c>
      <c r="K162" s="3" t="str">
        <f t="shared" ca="1" si="15"/>
        <v/>
      </c>
      <c r="L162" s="1">
        <f t="shared" si="16"/>
        <v>0</v>
      </c>
      <c r="M162" s="1">
        <f t="shared" si="17"/>
        <v>0</v>
      </c>
    </row>
    <row r="163" spans="1:13" x14ac:dyDescent="0.25">
      <c r="A163" s="1"/>
      <c r="B163" s="2"/>
      <c r="C163" s="1"/>
      <c r="D163" s="1"/>
      <c r="E163" s="7"/>
      <c r="F163" s="7">
        <f t="shared" si="12"/>
        <v>0</v>
      </c>
      <c r="G163" s="7"/>
      <c r="H163" s="7"/>
      <c r="I163" s="2" t="str">
        <f t="shared" si="13"/>
        <v/>
      </c>
      <c r="J163" s="1" t="str">
        <f t="shared" ca="1" si="14"/>
        <v/>
      </c>
      <c r="K163" s="3" t="str">
        <f t="shared" ca="1" si="15"/>
        <v/>
      </c>
      <c r="L163" s="1">
        <f t="shared" si="16"/>
        <v>0</v>
      </c>
      <c r="M163" s="1">
        <f t="shared" si="17"/>
        <v>0</v>
      </c>
    </row>
    <row r="164" spans="1:13" x14ac:dyDescent="0.25">
      <c r="A164" s="1"/>
      <c r="B164" s="2"/>
      <c r="C164" s="1"/>
      <c r="D164" s="1"/>
      <c r="E164" s="7"/>
      <c r="F164" s="7">
        <f t="shared" si="12"/>
        <v>0</v>
      </c>
      <c r="G164" s="7"/>
      <c r="H164" s="7"/>
      <c r="I164" s="2" t="str">
        <f t="shared" si="13"/>
        <v/>
      </c>
      <c r="J164" s="1" t="str">
        <f t="shared" ca="1" si="14"/>
        <v/>
      </c>
      <c r="K164" s="3" t="str">
        <f t="shared" ca="1" si="15"/>
        <v/>
      </c>
      <c r="L164" s="1">
        <f t="shared" si="16"/>
        <v>0</v>
      </c>
      <c r="M164" s="1">
        <f t="shared" si="17"/>
        <v>0</v>
      </c>
    </row>
    <row r="165" spans="1:13" x14ac:dyDescent="0.25">
      <c r="A165" s="1"/>
      <c r="B165" s="2"/>
      <c r="C165" s="1"/>
      <c r="D165" s="1"/>
      <c r="E165" s="7"/>
      <c r="F165" s="7">
        <f t="shared" si="12"/>
        <v>0</v>
      </c>
      <c r="G165" s="7"/>
      <c r="H165" s="7"/>
      <c r="I165" s="2" t="str">
        <f t="shared" si="13"/>
        <v/>
      </c>
      <c r="J165" s="1" t="str">
        <f t="shared" ca="1" si="14"/>
        <v/>
      </c>
      <c r="K165" s="3" t="str">
        <f t="shared" ca="1" si="15"/>
        <v/>
      </c>
      <c r="L165" s="1">
        <f t="shared" si="16"/>
        <v>0</v>
      </c>
      <c r="M165" s="1">
        <f t="shared" si="17"/>
        <v>0</v>
      </c>
    </row>
    <row r="166" spans="1:13" x14ac:dyDescent="0.25">
      <c r="A166" s="1"/>
      <c r="B166" s="2"/>
      <c r="C166" s="1"/>
      <c r="D166" s="1"/>
      <c r="E166" s="7"/>
      <c r="F166" s="7">
        <f t="shared" si="12"/>
        <v>0</v>
      </c>
      <c r="G166" s="7"/>
      <c r="H166" s="7"/>
      <c r="I166" s="2" t="str">
        <f t="shared" si="13"/>
        <v/>
      </c>
      <c r="J166" s="1" t="str">
        <f t="shared" ca="1" si="14"/>
        <v/>
      </c>
      <c r="K166" s="3" t="str">
        <f t="shared" ca="1" si="15"/>
        <v/>
      </c>
      <c r="L166" s="1">
        <f t="shared" si="16"/>
        <v>0</v>
      </c>
      <c r="M166" s="1">
        <f t="shared" si="17"/>
        <v>0</v>
      </c>
    </row>
    <row r="167" spans="1:13" x14ac:dyDescent="0.25">
      <c r="A167" s="1"/>
      <c r="B167" s="2"/>
      <c r="C167" s="1"/>
      <c r="D167" s="1"/>
      <c r="E167" s="7"/>
      <c r="F167" s="7">
        <f t="shared" si="12"/>
        <v>0</v>
      </c>
      <c r="G167" s="7"/>
      <c r="H167" s="7"/>
      <c r="I167" s="2" t="str">
        <f t="shared" si="13"/>
        <v/>
      </c>
      <c r="J167" s="1" t="str">
        <f t="shared" ca="1" si="14"/>
        <v/>
      </c>
      <c r="K167" s="3" t="str">
        <f t="shared" ca="1" si="15"/>
        <v/>
      </c>
      <c r="L167" s="1">
        <f t="shared" si="16"/>
        <v>0</v>
      </c>
      <c r="M167" s="1">
        <f t="shared" si="17"/>
        <v>0</v>
      </c>
    </row>
    <row r="168" spans="1:13" x14ac:dyDescent="0.25">
      <c r="A168" s="1"/>
      <c r="B168" s="2"/>
      <c r="C168" s="1"/>
      <c r="D168" s="1"/>
      <c r="E168" s="7"/>
      <c r="F168" s="7">
        <f t="shared" si="12"/>
        <v>0</v>
      </c>
      <c r="G168" s="7"/>
      <c r="H168" s="7"/>
      <c r="I168" s="2" t="str">
        <f t="shared" si="13"/>
        <v/>
      </c>
      <c r="J168" s="1" t="str">
        <f t="shared" ca="1" si="14"/>
        <v/>
      </c>
      <c r="K168" s="3" t="str">
        <f t="shared" ca="1" si="15"/>
        <v/>
      </c>
      <c r="L168" s="1">
        <f t="shared" si="16"/>
        <v>0</v>
      </c>
      <c r="M168" s="1">
        <f t="shared" si="17"/>
        <v>0</v>
      </c>
    </row>
    <row r="169" spans="1:13" x14ac:dyDescent="0.25">
      <c r="A169" s="1"/>
      <c r="B169" s="2"/>
      <c r="C169" s="1"/>
      <c r="D169" s="1"/>
      <c r="E169" s="7"/>
      <c r="F169" s="7">
        <f t="shared" si="12"/>
        <v>0</v>
      </c>
      <c r="G169" s="7"/>
      <c r="H169" s="7"/>
      <c r="I169" s="2" t="str">
        <f t="shared" si="13"/>
        <v/>
      </c>
      <c r="J169" s="1" t="str">
        <f t="shared" ca="1" si="14"/>
        <v/>
      </c>
      <c r="K169" s="3" t="str">
        <f t="shared" ca="1" si="15"/>
        <v/>
      </c>
      <c r="L169" s="1">
        <f t="shared" si="16"/>
        <v>0</v>
      </c>
      <c r="M169" s="1">
        <f t="shared" si="17"/>
        <v>0</v>
      </c>
    </row>
    <row r="170" spans="1:13" x14ac:dyDescent="0.25">
      <c r="A170" s="1"/>
      <c r="B170" s="2"/>
      <c r="C170" s="1"/>
      <c r="D170" s="1"/>
      <c r="E170" s="7"/>
      <c r="F170" s="7">
        <f t="shared" si="12"/>
        <v>0</v>
      </c>
      <c r="G170" s="7"/>
      <c r="H170" s="7"/>
      <c r="I170" s="2" t="str">
        <f t="shared" si="13"/>
        <v/>
      </c>
      <c r="J170" s="1" t="str">
        <f t="shared" ca="1" si="14"/>
        <v/>
      </c>
      <c r="K170" s="3" t="str">
        <f t="shared" ca="1" si="15"/>
        <v/>
      </c>
      <c r="L170" s="1">
        <f t="shared" si="16"/>
        <v>0</v>
      </c>
      <c r="M170" s="1">
        <f t="shared" si="17"/>
        <v>0</v>
      </c>
    </row>
    <row r="171" spans="1:13" x14ac:dyDescent="0.25">
      <c r="A171" s="1"/>
      <c r="B171" s="2"/>
      <c r="C171" s="1"/>
      <c r="D171" s="1"/>
      <c r="E171" s="7"/>
      <c r="F171" s="7">
        <f t="shared" si="12"/>
        <v>0</v>
      </c>
      <c r="G171" s="7"/>
      <c r="H171" s="7"/>
      <c r="I171" s="2" t="str">
        <f t="shared" si="13"/>
        <v/>
      </c>
      <c r="J171" s="1" t="str">
        <f t="shared" ca="1" si="14"/>
        <v/>
      </c>
      <c r="K171" s="3" t="str">
        <f t="shared" ca="1" si="15"/>
        <v/>
      </c>
      <c r="L171" s="1">
        <f t="shared" si="16"/>
        <v>0</v>
      </c>
      <c r="M171" s="1">
        <f t="shared" si="17"/>
        <v>0</v>
      </c>
    </row>
    <row r="172" spans="1:13" x14ac:dyDescent="0.25">
      <c r="A172" s="1"/>
      <c r="B172" s="2"/>
      <c r="C172" s="1"/>
      <c r="D172" s="1"/>
      <c r="E172" s="7"/>
      <c r="F172" s="7">
        <f t="shared" si="12"/>
        <v>0</v>
      </c>
      <c r="G172" s="7"/>
      <c r="H172" s="7"/>
      <c r="I172" s="2" t="str">
        <f t="shared" si="13"/>
        <v/>
      </c>
      <c r="J172" s="1" t="str">
        <f t="shared" ca="1" si="14"/>
        <v/>
      </c>
      <c r="K172" s="3" t="str">
        <f t="shared" ca="1" si="15"/>
        <v/>
      </c>
      <c r="L172" s="1">
        <f t="shared" si="16"/>
        <v>0</v>
      </c>
      <c r="M172" s="1">
        <f t="shared" si="17"/>
        <v>0</v>
      </c>
    </row>
    <row r="173" spans="1:13" x14ac:dyDescent="0.25">
      <c r="A173" s="1"/>
      <c r="B173" s="2"/>
      <c r="C173" s="1"/>
      <c r="D173" s="1"/>
      <c r="E173" s="7"/>
      <c r="F173" s="7">
        <f t="shared" si="12"/>
        <v>0</v>
      </c>
      <c r="G173" s="7"/>
      <c r="H173" s="7"/>
      <c r="I173" s="2" t="str">
        <f t="shared" si="13"/>
        <v/>
      </c>
      <c r="J173" s="1" t="str">
        <f t="shared" ca="1" si="14"/>
        <v/>
      </c>
      <c r="K173" s="3" t="str">
        <f t="shared" ca="1" si="15"/>
        <v/>
      </c>
      <c r="L173" s="1">
        <f t="shared" si="16"/>
        <v>0</v>
      </c>
      <c r="M173" s="1">
        <f t="shared" si="17"/>
        <v>0</v>
      </c>
    </row>
    <row r="174" spans="1:13" x14ac:dyDescent="0.25">
      <c r="A174" s="1"/>
      <c r="B174" s="2"/>
      <c r="C174" s="1"/>
      <c r="D174" s="1"/>
      <c r="E174" s="7"/>
      <c r="F174" s="7">
        <f t="shared" si="12"/>
        <v>0</v>
      </c>
      <c r="G174" s="7"/>
      <c r="H174" s="7"/>
      <c r="I174" s="2" t="str">
        <f t="shared" si="13"/>
        <v/>
      </c>
      <c r="J174" s="1" t="str">
        <f t="shared" ca="1" si="14"/>
        <v/>
      </c>
      <c r="K174" s="3" t="str">
        <f t="shared" ca="1" si="15"/>
        <v/>
      </c>
      <c r="L174" s="1">
        <f t="shared" si="16"/>
        <v>0</v>
      </c>
      <c r="M174" s="1">
        <f t="shared" si="17"/>
        <v>0</v>
      </c>
    </row>
    <row r="175" spans="1:13" x14ac:dyDescent="0.25">
      <c r="A175" s="1"/>
      <c r="B175" s="2"/>
      <c r="C175" s="1"/>
      <c r="D175" s="1"/>
      <c r="E175" s="7"/>
      <c r="F175" s="7">
        <f t="shared" si="12"/>
        <v>0</v>
      </c>
      <c r="G175" s="7"/>
      <c r="H175" s="7"/>
      <c r="I175" s="2" t="str">
        <f t="shared" si="13"/>
        <v/>
      </c>
      <c r="J175" s="1" t="str">
        <f t="shared" ca="1" si="14"/>
        <v/>
      </c>
      <c r="K175" s="3" t="str">
        <f t="shared" ca="1" si="15"/>
        <v/>
      </c>
      <c r="L175" s="1">
        <f t="shared" si="16"/>
        <v>0</v>
      </c>
      <c r="M175" s="1">
        <f t="shared" si="17"/>
        <v>0</v>
      </c>
    </row>
    <row r="176" spans="1:13" x14ac:dyDescent="0.25">
      <c r="A176" s="1"/>
      <c r="B176" s="2"/>
      <c r="C176" s="1"/>
      <c r="D176" s="1"/>
      <c r="E176" s="7"/>
      <c r="F176" s="7">
        <f t="shared" si="12"/>
        <v>0</v>
      </c>
      <c r="G176" s="7"/>
      <c r="H176" s="7"/>
      <c r="I176" s="2" t="str">
        <f t="shared" si="13"/>
        <v/>
      </c>
      <c r="J176" s="1" t="str">
        <f t="shared" ca="1" si="14"/>
        <v/>
      </c>
      <c r="K176" s="3" t="str">
        <f t="shared" ca="1" si="15"/>
        <v/>
      </c>
      <c r="L176" s="1">
        <f t="shared" si="16"/>
        <v>0</v>
      </c>
      <c r="M176" s="1">
        <f t="shared" si="17"/>
        <v>0</v>
      </c>
    </row>
    <row r="177" spans="1:13" x14ac:dyDescent="0.25">
      <c r="A177" s="1"/>
      <c r="B177" s="2"/>
      <c r="C177" s="1"/>
      <c r="D177" s="1"/>
      <c r="E177" s="7"/>
      <c r="F177" s="7">
        <f t="shared" si="12"/>
        <v>0</v>
      </c>
      <c r="G177" s="7"/>
      <c r="H177" s="7"/>
      <c r="I177" s="2" t="str">
        <f t="shared" si="13"/>
        <v/>
      </c>
      <c r="J177" s="1" t="str">
        <f t="shared" ca="1" si="14"/>
        <v/>
      </c>
      <c r="K177" s="3" t="str">
        <f t="shared" ca="1" si="15"/>
        <v/>
      </c>
      <c r="L177" s="1">
        <f t="shared" si="16"/>
        <v>0</v>
      </c>
      <c r="M177" s="1">
        <f t="shared" si="17"/>
        <v>0</v>
      </c>
    </row>
    <row r="178" spans="1:13" x14ac:dyDescent="0.25">
      <c r="A178" s="1"/>
      <c r="B178" s="2"/>
      <c r="C178" s="1"/>
      <c r="D178" s="1"/>
      <c r="E178" s="7"/>
      <c r="F178" s="7">
        <f t="shared" si="12"/>
        <v>0</v>
      </c>
      <c r="G178" s="7"/>
      <c r="H178" s="7"/>
      <c r="I178" s="2" t="str">
        <f t="shared" si="13"/>
        <v/>
      </c>
      <c r="J178" s="1" t="str">
        <f t="shared" ca="1" si="14"/>
        <v/>
      </c>
      <c r="K178" s="3" t="str">
        <f t="shared" ca="1" si="15"/>
        <v/>
      </c>
      <c r="L178" s="1">
        <f t="shared" si="16"/>
        <v>0</v>
      </c>
      <c r="M178" s="1">
        <f t="shared" si="17"/>
        <v>0</v>
      </c>
    </row>
    <row r="179" spans="1:13" x14ac:dyDescent="0.25">
      <c r="A179" s="1"/>
      <c r="B179" s="2"/>
      <c r="C179" s="1"/>
      <c r="D179" s="1"/>
      <c r="E179" s="7"/>
      <c r="F179" s="7">
        <f t="shared" si="12"/>
        <v>0</v>
      </c>
      <c r="G179" s="7"/>
      <c r="H179" s="7"/>
      <c r="I179" s="2" t="str">
        <f t="shared" si="13"/>
        <v/>
      </c>
      <c r="J179" s="1" t="str">
        <f t="shared" ca="1" si="14"/>
        <v/>
      </c>
      <c r="K179" s="3" t="str">
        <f t="shared" ca="1" si="15"/>
        <v/>
      </c>
      <c r="L179" s="1">
        <f t="shared" si="16"/>
        <v>0</v>
      </c>
      <c r="M179" s="1">
        <f t="shared" si="17"/>
        <v>0</v>
      </c>
    </row>
    <row r="180" spans="1:13" x14ac:dyDescent="0.25">
      <c r="A180" s="1"/>
      <c r="B180" s="2"/>
      <c r="C180" s="1"/>
      <c r="D180" s="1"/>
      <c r="E180" s="7"/>
      <c r="F180" s="7">
        <f t="shared" si="12"/>
        <v>0</v>
      </c>
      <c r="G180" s="7"/>
      <c r="H180" s="7"/>
      <c r="I180" s="2" t="str">
        <f t="shared" si="13"/>
        <v/>
      </c>
      <c r="J180" s="1" t="str">
        <f t="shared" ca="1" si="14"/>
        <v/>
      </c>
      <c r="K180" s="3" t="str">
        <f t="shared" ca="1" si="15"/>
        <v/>
      </c>
      <c r="L180" s="1">
        <f t="shared" si="16"/>
        <v>0</v>
      </c>
      <c r="M180" s="1">
        <f t="shared" si="17"/>
        <v>0</v>
      </c>
    </row>
    <row r="181" spans="1:13" x14ac:dyDescent="0.25">
      <c r="A181" s="1"/>
      <c r="B181" s="2"/>
      <c r="C181" s="1"/>
      <c r="D181" s="1"/>
      <c r="E181" s="7"/>
      <c r="F181" s="7">
        <f t="shared" si="12"/>
        <v>0</v>
      </c>
      <c r="G181" s="7"/>
      <c r="H181" s="7"/>
      <c r="I181" s="2" t="str">
        <f t="shared" si="13"/>
        <v/>
      </c>
      <c r="J181" s="1" t="str">
        <f t="shared" ca="1" si="14"/>
        <v/>
      </c>
      <c r="K181" s="3" t="str">
        <f t="shared" ca="1" si="15"/>
        <v/>
      </c>
      <c r="L181" s="1">
        <f t="shared" si="16"/>
        <v>0</v>
      </c>
      <c r="M181" s="1">
        <f t="shared" si="17"/>
        <v>0</v>
      </c>
    </row>
    <row r="182" spans="1:13" x14ac:dyDescent="0.25">
      <c r="A182" s="1"/>
      <c r="B182" s="2"/>
      <c r="C182" s="1"/>
      <c r="D182" s="1"/>
      <c r="E182" s="7"/>
      <c r="F182" s="7">
        <f t="shared" si="12"/>
        <v>0</v>
      </c>
      <c r="G182" s="7"/>
      <c r="H182" s="7"/>
      <c r="I182" s="2" t="str">
        <f t="shared" si="13"/>
        <v/>
      </c>
      <c r="J182" s="1" t="str">
        <f t="shared" ca="1" si="14"/>
        <v/>
      </c>
      <c r="K182" s="3" t="str">
        <f t="shared" ca="1" si="15"/>
        <v/>
      </c>
      <c r="L182" s="1">
        <f t="shared" si="16"/>
        <v>0</v>
      </c>
      <c r="M182" s="1">
        <f t="shared" si="17"/>
        <v>0</v>
      </c>
    </row>
    <row r="183" spans="1:13" x14ac:dyDescent="0.25">
      <c r="A183" s="1"/>
      <c r="B183" s="2"/>
      <c r="C183" s="1"/>
      <c r="D183" s="1"/>
      <c r="E183" s="7"/>
      <c r="F183" s="7">
        <f t="shared" si="12"/>
        <v>0</v>
      </c>
      <c r="G183" s="7"/>
      <c r="H183" s="7"/>
      <c r="I183" s="2" t="str">
        <f t="shared" si="13"/>
        <v/>
      </c>
      <c r="J183" s="1" t="str">
        <f t="shared" ca="1" si="14"/>
        <v/>
      </c>
      <c r="K183" s="3" t="str">
        <f t="shared" ca="1" si="15"/>
        <v/>
      </c>
      <c r="L183" s="1">
        <f t="shared" si="16"/>
        <v>0</v>
      </c>
      <c r="M183" s="1">
        <f t="shared" si="17"/>
        <v>0</v>
      </c>
    </row>
    <row r="184" spans="1:13" x14ac:dyDescent="0.25">
      <c r="A184" s="1"/>
      <c r="B184" s="2"/>
      <c r="C184" s="1"/>
      <c r="D184" s="1"/>
      <c r="E184" s="7"/>
      <c r="F184" s="7">
        <f t="shared" si="12"/>
        <v>0</v>
      </c>
      <c r="G184" s="7"/>
      <c r="H184" s="7"/>
      <c r="I184" s="2" t="str">
        <f t="shared" si="13"/>
        <v/>
      </c>
      <c r="J184" s="1" t="str">
        <f t="shared" ca="1" si="14"/>
        <v/>
      </c>
      <c r="K184" s="3" t="str">
        <f t="shared" ca="1" si="15"/>
        <v/>
      </c>
      <c r="L184" s="1">
        <f t="shared" si="16"/>
        <v>0</v>
      </c>
      <c r="M184" s="1">
        <f t="shared" si="17"/>
        <v>0</v>
      </c>
    </row>
    <row r="185" spans="1:13" x14ac:dyDescent="0.25">
      <c r="A185" s="1"/>
      <c r="B185" s="2"/>
      <c r="C185" s="1"/>
      <c r="D185" s="1"/>
      <c r="E185" s="7"/>
      <c r="F185" s="7">
        <f t="shared" si="12"/>
        <v>0</v>
      </c>
      <c r="G185" s="7"/>
      <c r="H185" s="7"/>
      <c r="I185" s="2" t="str">
        <f t="shared" si="13"/>
        <v/>
      </c>
      <c r="J185" s="1" t="str">
        <f t="shared" ca="1" si="14"/>
        <v/>
      </c>
      <c r="K185" s="3" t="str">
        <f t="shared" ca="1" si="15"/>
        <v/>
      </c>
      <c r="L185" s="1">
        <f t="shared" si="16"/>
        <v>0</v>
      </c>
      <c r="M185" s="1">
        <f t="shared" si="17"/>
        <v>0</v>
      </c>
    </row>
    <row r="186" spans="1:13" x14ac:dyDescent="0.25">
      <c r="A186" s="1"/>
      <c r="B186" s="2"/>
      <c r="C186" s="1"/>
      <c r="D186" s="1"/>
      <c r="E186" s="7"/>
      <c r="F186" s="7">
        <f t="shared" si="12"/>
        <v>0</v>
      </c>
      <c r="G186" s="7"/>
      <c r="H186" s="7"/>
      <c r="I186" s="2" t="str">
        <f t="shared" si="13"/>
        <v/>
      </c>
      <c r="J186" s="1" t="str">
        <f t="shared" ca="1" si="14"/>
        <v/>
      </c>
      <c r="K186" s="3" t="str">
        <f t="shared" ca="1" si="15"/>
        <v/>
      </c>
      <c r="L186" s="1">
        <f t="shared" si="16"/>
        <v>0</v>
      </c>
      <c r="M186" s="1">
        <f t="shared" si="17"/>
        <v>0</v>
      </c>
    </row>
    <row r="187" spans="1:13" x14ac:dyDescent="0.25">
      <c r="A187" s="1"/>
      <c r="B187" s="2"/>
      <c r="C187" s="1"/>
      <c r="D187" s="1"/>
      <c r="E187" s="7"/>
      <c r="F187" s="7">
        <f t="shared" si="12"/>
        <v>0</v>
      </c>
      <c r="G187" s="7"/>
      <c r="H187" s="7"/>
      <c r="I187" s="2" t="str">
        <f t="shared" si="13"/>
        <v/>
      </c>
      <c r="J187" s="1" t="str">
        <f t="shared" ca="1" si="14"/>
        <v/>
      </c>
      <c r="K187" s="3" t="str">
        <f t="shared" ca="1" si="15"/>
        <v/>
      </c>
      <c r="L187" s="1">
        <f t="shared" si="16"/>
        <v>0</v>
      </c>
      <c r="M187" s="1">
        <f t="shared" si="17"/>
        <v>0</v>
      </c>
    </row>
    <row r="188" spans="1:13" x14ac:dyDescent="0.25">
      <c r="A188" s="1"/>
      <c r="B188" s="2"/>
      <c r="C188" s="1"/>
      <c r="D188" s="1"/>
      <c r="E188" s="7"/>
      <c r="F188" s="7">
        <f t="shared" si="12"/>
        <v>0</v>
      </c>
      <c r="G188" s="7"/>
      <c r="H188" s="7"/>
      <c r="I188" s="2" t="str">
        <f t="shared" si="13"/>
        <v/>
      </c>
      <c r="J188" s="1" t="str">
        <f t="shared" ca="1" si="14"/>
        <v/>
      </c>
      <c r="K188" s="3" t="str">
        <f t="shared" ca="1" si="15"/>
        <v/>
      </c>
      <c r="L188" s="1">
        <f t="shared" si="16"/>
        <v>0</v>
      </c>
      <c r="M188" s="1">
        <f t="shared" si="17"/>
        <v>0</v>
      </c>
    </row>
    <row r="189" spans="1:13" x14ac:dyDescent="0.25">
      <c r="A189" s="1"/>
      <c r="B189" s="2"/>
      <c r="C189" s="1"/>
      <c r="D189" s="1"/>
      <c r="E189" s="7"/>
      <c r="F189" s="7">
        <f t="shared" si="12"/>
        <v>0</v>
      </c>
      <c r="G189" s="7"/>
      <c r="H189" s="7"/>
      <c r="I189" s="2" t="str">
        <f t="shared" si="13"/>
        <v/>
      </c>
      <c r="J189" s="1" t="str">
        <f t="shared" ca="1" si="14"/>
        <v/>
      </c>
      <c r="K189" s="3" t="str">
        <f t="shared" ca="1" si="15"/>
        <v/>
      </c>
      <c r="L189" s="1">
        <f t="shared" si="16"/>
        <v>0</v>
      </c>
      <c r="M189" s="1">
        <f t="shared" si="17"/>
        <v>0</v>
      </c>
    </row>
    <row r="190" spans="1:13" x14ac:dyDescent="0.25">
      <c r="A190" s="1"/>
      <c r="B190" s="2"/>
      <c r="C190" s="1"/>
      <c r="D190" s="1"/>
      <c r="E190" s="7"/>
      <c r="F190" s="7">
        <f t="shared" si="12"/>
        <v>0</v>
      </c>
      <c r="G190" s="7"/>
      <c r="H190" s="7"/>
      <c r="I190" s="2" t="str">
        <f t="shared" si="13"/>
        <v/>
      </c>
      <c r="J190" s="1" t="str">
        <f t="shared" ca="1" si="14"/>
        <v/>
      </c>
      <c r="K190" s="3" t="str">
        <f t="shared" ca="1" si="15"/>
        <v/>
      </c>
      <c r="L190" s="1">
        <f t="shared" si="16"/>
        <v>0</v>
      </c>
      <c r="M190" s="1">
        <f t="shared" si="17"/>
        <v>0</v>
      </c>
    </row>
    <row r="191" spans="1:13" x14ac:dyDescent="0.25">
      <c r="A191" s="1"/>
      <c r="B191" s="2"/>
      <c r="C191" s="1"/>
      <c r="D191" s="1"/>
      <c r="E191" s="7"/>
      <c r="F191" s="7">
        <f t="shared" si="12"/>
        <v>0</v>
      </c>
      <c r="G191" s="7"/>
      <c r="H191" s="7"/>
      <c r="I191" s="2" t="str">
        <f t="shared" si="13"/>
        <v/>
      </c>
      <c r="J191" s="1" t="str">
        <f t="shared" ca="1" si="14"/>
        <v/>
      </c>
      <c r="K191" s="3" t="str">
        <f t="shared" ca="1" si="15"/>
        <v/>
      </c>
      <c r="L191" s="1">
        <f t="shared" si="16"/>
        <v>0</v>
      </c>
      <c r="M191" s="1">
        <f t="shared" si="17"/>
        <v>0</v>
      </c>
    </row>
    <row r="192" spans="1:13" x14ac:dyDescent="0.25">
      <c r="A192" s="1"/>
      <c r="B192" s="2"/>
      <c r="C192" s="1"/>
      <c r="D192" s="1"/>
      <c r="E192" s="7"/>
      <c r="F192" s="7">
        <f t="shared" si="12"/>
        <v>0</v>
      </c>
      <c r="G192" s="7"/>
      <c r="H192" s="7"/>
      <c r="I192" s="2" t="str">
        <f t="shared" si="13"/>
        <v/>
      </c>
      <c r="J192" s="1" t="str">
        <f t="shared" ca="1" si="14"/>
        <v/>
      </c>
      <c r="K192" s="3" t="str">
        <f t="shared" ca="1" si="15"/>
        <v/>
      </c>
      <c r="L192" s="1">
        <f t="shared" si="16"/>
        <v>0</v>
      </c>
      <c r="M192" s="1">
        <f t="shared" si="17"/>
        <v>0</v>
      </c>
    </row>
    <row r="193" spans="1:13" x14ac:dyDescent="0.25">
      <c r="A193" s="1"/>
      <c r="B193" s="2"/>
      <c r="C193" s="1"/>
      <c r="D193" s="1"/>
      <c r="E193" s="7"/>
      <c r="F193" s="7">
        <f t="shared" si="12"/>
        <v>0</v>
      </c>
      <c r="G193" s="7"/>
      <c r="H193" s="7"/>
      <c r="I193" s="2" t="str">
        <f t="shared" si="13"/>
        <v/>
      </c>
      <c r="J193" s="1" t="str">
        <f t="shared" ca="1" si="14"/>
        <v/>
      </c>
      <c r="K193" s="3" t="str">
        <f t="shared" ca="1" si="15"/>
        <v/>
      </c>
      <c r="L193" s="1">
        <f t="shared" si="16"/>
        <v>0</v>
      </c>
      <c r="M193" s="1">
        <f t="shared" si="17"/>
        <v>0</v>
      </c>
    </row>
    <row r="194" spans="1:13" x14ac:dyDescent="0.25">
      <c r="A194" s="1"/>
      <c r="B194" s="2"/>
      <c r="C194" s="1"/>
      <c r="D194" s="1"/>
      <c r="E194" s="7"/>
      <c r="F194" s="7">
        <f t="shared" ref="F194:F257" si="18">G194-H194</f>
        <v>0</v>
      </c>
      <c r="G194" s="7"/>
      <c r="H194" s="7"/>
      <c r="I194" s="2" t="str">
        <f t="shared" ref="I194:I257" si="19">IF(F194=0,"",IF(C194="CRED",B194+(INT((G194-F194)/E194)+1)*D194,B194+INT((G194-F194)/E194)*D194))</f>
        <v/>
      </c>
      <c r="J194" s="1" t="str">
        <f t="shared" ref="J194:J257" ca="1" si="20">IF(I194="","",I194-TODAY())</f>
        <v/>
      </c>
      <c r="K194" s="3" t="str">
        <f t="shared" ref="K194:K257" ca="1" si="21">IF(J194="","",IF(J194&lt;0,"VENCIDO",IF(J194&lt;=1,"PRÓXIMO","VIGENTE")))</f>
        <v/>
      </c>
      <c r="L194" s="1">
        <f t="shared" ref="L194:L257" si="22">IF(F194=G194,0,INT((G194-F194)/E194))</f>
        <v>0</v>
      </c>
      <c r="M194" s="1">
        <f t="shared" ref="M194:M257" si="23">IF(F194=0,0,INT(F194/E194)+(IF(MOD(F194,E194)&gt;0,1,0)))</f>
        <v>0</v>
      </c>
    </row>
    <row r="195" spans="1:13" x14ac:dyDescent="0.25">
      <c r="A195" s="1"/>
      <c r="B195" s="2"/>
      <c r="C195" s="1"/>
      <c r="D195" s="1"/>
      <c r="E195" s="7"/>
      <c r="F195" s="7">
        <f t="shared" si="18"/>
        <v>0</v>
      </c>
      <c r="G195" s="7"/>
      <c r="H195" s="7"/>
      <c r="I195" s="2" t="str">
        <f t="shared" si="19"/>
        <v/>
      </c>
      <c r="J195" s="1" t="str">
        <f t="shared" ca="1" si="20"/>
        <v/>
      </c>
      <c r="K195" s="3" t="str">
        <f t="shared" ca="1" si="21"/>
        <v/>
      </c>
      <c r="L195" s="1">
        <f t="shared" si="22"/>
        <v>0</v>
      </c>
      <c r="M195" s="1">
        <f t="shared" si="23"/>
        <v>0</v>
      </c>
    </row>
    <row r="196" spans="1:13" x14ac:dyDescent="0.25">
      <c r="A196" s="1"/>
      <c r="B196" s="2"/>
      <c r="C196" s="1"/>
      <c r="D196" s="1"/>
      <c r="E196" s="7"/>
      <c r="F196" s="7">
        <f t="shared" si="18"/>
        <v>0</v>
      </c>
      <c r="G196" s="7"/>
      <c r="H196" s="7"/>
      <c r="I196" s="2" t="str">
        <f t="shared" si="19"/>
        <v/>
      </c>
      <c r="J196" s="1" t="str">
        <f t="shared" ca="1" si="20"/>
        <v/>
      </c>
      <c r="K196" s="3" t="str">
        <f t="shared" ca="1" si="21"/>
        <v/>
      </c>
      <c r="L196" s="1">
        <f t="shared" si="22"/>
        <v>0</v>
      </c>
      <c r="M196" s="1">
        <f t="shared" si="23"/>
        <v>0</v>
      </c>
    </row>
    <row r="197" spans="1:13" x14ac:dyDescent="0.25">
      <c r="A197" s="1"/>
      <c r="B197" s="2"/>
      <c r="C197" s="1"/>
      <c r="D197" s="1"/>
      <c r="E197" s="7"/>
      <c r="F197" s="7">
        <f t="shared" si="18"/>
        <v>0</v>
      </c>
      <c r="G197" s="7"/>
      <c r="H197" s="7"/>
      <c r="I197" s="2" t="str">
        <f t="shared" si="19"/>
        <v/>
      </c>
      <c r="J197" s="1" t="str">
        <f t="shared" ca="1" si="20"/>
        <v/>
      </c>
      <c r="K197" s="3" t="str">
        <f t="shared" ca="1" si="21"/>
        <v/>
      </c>
      <c r="L197" s="1">
        <f t="shared" si="22"/>
        <v>0</v>
      </c>
      <c r="M197" s="1">
        <f t="shared" si="23"/>
        <v>0</v>
      </c>
    </row>
    <row r="198" spans="1:13" x14ac:dyDescent="0.25">
      <c r="A198" s="1"/>
      <c r="B198" s="2"/>
      <c r="C198" s="1"/>
      <c r="D198" s="1"/>
      <c r="E198" s="7"/>
      <c r="F198" s="7">
        <f t="shared" si="18"/>
        <v>0</v>
      </c>
      <c r="G198" s="7"/>
      <c r="H198" s="7"/>
      <c r="I198" s="2" t="str">
        <f t="shared" si="19"/>
        <v/>
      </c>
      <c r="J198" s="1" t="str">
        <f t="shared" ca="1" si="20"/>
        <v/>
      </c>
      <c r="K198" s="3" t="str">
        <f t="shared" ca="1" si="21"/>
        <v/>
      </c>
      <c r="L198" s="1">
        <f t="shared" si="22"/>
        <v>0</v>
      </c>
      <c r="M198" s="1">
        <f t="shared" si="23"/>
        <v>0</v>
      </c>
    </row>
    <row r="199" spans="1:13" x14ac:dyDescent="0.25">
      <c r="A199" s="1"/>
      <c r="B199" s="2"/>
      <c r="C199" s="1"/>
      <c r="D199" s="1"/>
      <c r="E199" s="7"/>
      <c r="F199" s="7">
        <f t="shared" si="18"/>
        <v>0</v>
      </c>
      <c r="G199" s="7"/>
      <c r="H199" s="7"/>
      <c r="I199" s="2" t="str">
        <f t="shared" si="19"/>
        <v/>
      </c>
      <c r="J199" s="1" t="str">
        <f t="shared" ca="1" si="20"/>
        <v/>
      </c>
      <c r="K199" s="3" t="str">
        <f t="shared" ca="1" si="21"/>
        <v/>
      </c>
      <c r="L199" s="1">
        <f t="shared" si="22"/>
        <v>0</v>
      </c>
      <c r="M199" s="1">
        <f t="shared" si="23"/>
        <v>0</v>
      </c>
    </row>
    <row r="200" spans="1:13" x14ac:dyDescent="0.25">
      <c r="A200" s="1"/>
      <c r="B200" s="2"/>
      <c r="C200" s="1"/>
      <c r="D200" s="1"/>
      <c r="E200" s="7"/>
      <c r="F200" s="7">
        <f t="shared" si="18"/>
        <v>0</v>
      </c>
      <c r="G200" s="7"/>
      <c r="H200" s="7"/>
      <c r="I200" s="2" t="str">
        <f t="shared" si="19"/>
        <v/>
      </c>
      <c r="J200" s="1" t="str">
        <f t="shared" ca="1" si="20"/>
        <v/>
      </c>
      <c r="K200" s="3" t="str">
        <f t="shared" ca="1" si="21"/>
        <v/>
      </c>
      <c r="L200" s="1">
        <f t="shared" si="22"/>
        <v>0</v>
      </c>
      <c r="M200" s="1">
        <f t="shared" si="23"/>
        <v>0</v>
      </c>
    </row>
    <row r="201" spans="1:13" x14ac:dyDescent="0.25">
      <c r="A201" s="1"/>
      <c r="B201" s="2"/>
      <c r="C201" s="1"/>
      <c r="D201" s="1"/>
      <c r="E201" s="7"/>
      <c r="F201" s="7">
        <f t="shared" si="18"/>
        <v>0</v>
      </c>
      <c r="G201" s="7"/>
      <c r="H201" s="7"/>
      <c r="I201" s="2" t="str">
        <f t="shared" si="19"/>
        <v/>
      </c>
      <c r="J201" s="1" t="str">
        <f t="shared" ca="1" si="20"/>
        <v/>
      </c>
      <c r="K201" s="3" t="str">
        <f t="shared" ca="1" si="21"/>
        <v/>
      </c>
      <c r="L201" s="1">
        <f t="shared" si="22"/>
        <v>0</v>
      </c>
      <c r="M201" s="1">
        <f t="shared" si="23"/>
        <v>0</v>
      </c>
    </row>
    <row r="202" spans="1:13" x14ac:dyDescent="0.25">
      <c r="A202" s="1"/>
      <c r="B202" s="2"/>
      <c r="C202" s="1"/>
      <c r="D202" s="1"/>
      <c r="E202" s="7"/>
      <c r="F202" s="7">
        <f t="shared" si="18"/>
        <v>0</v>
      </c>
      <c r="G202" s="7"/>
      <c r="H202" s="7"/>
      <c r="I202" s="2" t="str">
        <f t="shared" si="19"/>
        <v/>
      </c>
      <c r="J202" s="1" t="str">
        <f t="shared" ca="1" si="20"/>
        <v/>
      </c>
      <c r="K202" s="3" t="str">
        <f t="shared" ca="1" si="21"/>
        <v/>
      </c>
      <c r="L202" s="1">
        <f t="shared" si="22"/>
        <v>0</v>
      </c>
      <c r="M202" s="1">
        <f t="shared" si="23"/>
        <v>0</v>
      </c>
    </row>
    <row r="203" spans="1:13" x14ac:dyDescent="0.25">
      <c r="A203" s="1"/>
      <c r="B203" s="2"/>
      <c r="C203" s="1"/>
      <c r="D203" s="1"/>
      <c r="E203" s="7"/>
      <c r="F203" s="7">
        <f t="shared" si="18"/>
        <v>0</v>
      </c>
      <c r="G203" s="7"/>
      <c r="H203" s="7"/>
      <c r="I203" s="2" t="str">
        <f t="shared" si="19"/>
        <v/>
      </c>
      <c r="J203" s="1" t="str">
        <f t="shared" ca="1" si="20"/>
        <v/>
      </c>
      <c r="K203" s="3" t="str">
        <f t="shared" ca="1" si="21"/>
        <v/>
      </c>
      <c r="L203" s="1">
        <f t="shared" si="22"/>
        <v>0</v>
      </c>
      <c r="M203" s="1">
        <f t="shared" si="23"/>
        <v>0</v>
      </c>
    </row>
    <row r="204" spans="1:13" x14ac:dyDescent="0.25">
      <c r="A204" s="1"/>
      <c r="B204" s="2"/>
      <c r="C204" s="1"/>
      <c r="D204" s="1"/>
      <c r="E204" s="7"/>
      <c r="F204" s="7">
        <f t="shared" si="18"/>
        <v>0</v>
      </c>
      <c r="G204" s="7"/>
      <c r="H204" s="7"/>
      <c r="I204" s="2" t="str">
        <f t="shared" si="19"/>
        <v/>
      </c>
      <c r="J204" s="1" t="str">
        <f t="shared" ca="1" si="20"/>
        <v/>
      </c>
      <c r="K204" s="3" t="str">
        <f t="shared" ca="1" si="21"/>
        <v/>
      </c>
      <c r="L204" s="1">
        <f t="shared" si="22"/>
        <v>0</v>
      </c>
      <c r="M204" s="1">
        <f t="shared" si="23"/>
        <v>0</v>
      </c>
    </row>
    <row r="205" spans="1:13" x14ac:dyDescent="0.25">
      <c r="A205" s="1"/>
      <c r="B205" s="2"/>
      <c r="C205" s="1"/>
      <c r="D205" s="1"/>
      <c r="E205" s="7"/>
      <c r="F205" s="7">
        <f t="shared" si="18"/>
        <v>0</v>
      </c>
      <c r="G205" s="7"/>
      <c r="H205" s="7"/>
      <c r="I205" s="2" t="str">
        <f t="shared" si="19"/>
        <v/>
      </c>
      <c r="J205" s="1" t="str">
        <f t="shared" ca="1" si="20"/>
        <v/>
      </c>
      <c r="K205" s="3" t="str">
        <f t="shared" ca="1" si="21"/>
        <v/>
      </c>
      <c r="L205" s="1">
        <f t="shared" si="22"/>
        <v>0</v>
      </c>
      <c r="M205" s="1">
        <f t="shared" si="23"/>
        <v>0</v>
      </c>
    </row>
    <row r="206" spans="1:13" x14ac:dyDescent="0.25">
      <c r="A206" s="1"/>
      <c r="B206" s="2"/>
      <c r="C206" s="1"/>
      <c r="D206" s="1"/>
      <c r="E206" s="7"/>
      <c r="F206" s="7">
        <f t="shared" si="18"/>
        <v>0</v>
      </c>
      <c r="G206" s="7"/>
      <c r="H206" s="7"/>
      <c r="I206" s="2" t="str">
        <f t="shared" si="19"/>
        <v/>
      </c>
      <c r="J206" s="1" t="str">
        <f t="shared" ca="1" si="20"/>
        <v/>
      </c>
      <c r="K206" s="3" t="str">
        <f t="shared" ca="1" si="21"/>
        <v/>
      </c>
      <c r="L206" s="1">
        <f t="shared" si="22"/>
        <v>0</v>
      </c>
      <c r="M206" s="1">
        <f t="shared" si="23"/>
        <v>0</v>
      </c>
    </row>
    <row r="207" spans="1:13" x14ac:dyDescent="0.25">
      <c r="A207" s="1"/>
      <c r="B207" s="2"/>
      <c r="C207" s="1"/>
      <c r="D207" s="1"/>
      <c r="E207" s="7"/>
      <c r="F207" s="7">
        <f t="shared" si="18"/>
        <v>0</v>
      </c>
      <c r="G207" s="7"/>
      <c r="H207" s="7"/>
      <c r="I207" s="2" t="str">
        <f t="shared" si="19"/>
        <v/>
      </c>
      <c r="J207" s="1" t="str">
        <f t="shared" ca="1" si="20"/>
        <v/>
      </c>
      <c r="K207" s="3" t="str">
        <f t="shared" ca="1" si="21"/>
        <v/>
      </c>
      <c r="L207" s="1">
        <f t="shared" si="22"/>
        <v>0</v>
      </c>
      <c r="M207" s="1">
        <f t="shared" si="23"/>
        <v>0</v>
      </c>
    </row>
    <row r="208" spans="1:13" x14ac:dyDescent="0.25">
      <c r="A208" s="1"/>
      <c r="B208" s="2"/>
      <c r="C208" s="1"/>
      <c r="D208" s="1"/>
      <c r="E208" s="7"/>
      <c r="F208" s="7">
        <f t="shared" si="18"/>
        <v>0</v>
      </c>
      <c r="G208" s="7"/>
      <c r="H208" s="7"/>
      <c r="I208" s="2" t="str">
        <f t="shared" si="19"/>
        <v/>
      </c>
      <c r="J208" s="1" t="str">
        <f t="shared" ca="1" si="20"/>
        <v/>
      </c>
      <c r="K208" s="3" t="str">
        <f t="shared" ca="1" si="21"/>
        <v/>
      </c>
      <c r="L208" s="1">
        <f t="shared" si="22"/>
        <v>0</v>
      </c>
      <c r="M208" s="1">
        <f t="shared" si="23"/>
        <v>0</v>
      </c>
    </row>
    <row r="209" spans="1:13" x14ac:dyDescent="0.25">
      <c r="A209" s="1"/>
      <c r="B209" s="2"/>
      <c r="C209" s="1"/>
      <c r="D209" s="1"/>
      <c r="E209" s="7"/>
      <c r="F209" s="7">
        <f t="shared" si="18"/>
        <v>0</v>
      </c>
      <c r="G209" s="7"/>
      <c r="H209" s="7"/>
      <c r="I209" s="2" t="str">
        <f t="shared" si="19"/>
        <v/>
      </c>
      <c r="J209" s="1" t="str">
        <f t="shared" ca="1" si="20"/>
        <v/>
      </c>
      <c r="K209" s="3" t="str">
        <f t="shared" ca="1" si="21"/>
        <v/>
      </c>
      <c r="L209" s="1">
        <f t="shared" si="22"/>
        <v>0</v>
      </c>
      <c r="M209" s="1">
        <f t="shared" si="23"/>
        <v>0</v>
      </c>
    </row>
    <row r="210" spans="1:13" x14ac:dyDescent="0.25">
      <c r="A210" s="1"/>
      <c r="B210" s="2"/>
      <c r="C210" s="1"/>
      <c r="D210" s="1"/>
      <c r="E210" s="7"/>
      <c r="F210" s="7">
        <f t="shared" si="18"/>
        <v>0</v>
      </c>
      <c r="G210" s="7"/>
      <c r="H210" s="7"/>
      <c r="I210" s="2" t="str">
        <f t="shared" si="19"/>
        <v/>
      </c>
      <c r="J210" s="1" t="str">
        <f t="shared" ca="1" si="20"/>
        <v/>
      </c>
      <c r="K210" s="3" t="str">
        <f t="shared" ca="1" si="21"/>
        <v/>
      </c>
      <c r="L210" s="1">
        <f t="shared" si="22"/>
        <v>0</v>
      </c>
      <c r="M210" s="1">
        <f t="shared" si="23"/>
        <v>0</v>
      </c>
    </row>
    <row r="211" spans="1:13" x14ac:dyDescent="0.25">
      <c r="A211" s="1"/>
      <c r="B211" s="2"/>
      <c r="C211" s="1"/>
      <c r="D211" s="1"/>
      <c r="E211" s="7"/>
      <c r="F211" s="7">
        <f t="shared" si="18"/>
        <v>0</v>
      </c>
      <c r="G211" s="7"/>
      <c r="H211" s="7"/>
      <c r="I211" s="2" t="str">
        <f t="shared" si="19"/>
        <v/>
      </c>
      <c r="J211" s="1" t="str">
        <f t="shared" ca="1" si="20"/>
        <v/>
      </c>
      <c r="K211" s="3" t="str">
        <f t="shared" ca="1" si="21"/>
        <v/>
      </c>
      <c r="L211" s="1">
        <f t="shared" si="22"/>
        <v>0</v>
      </c>
      <c r="M211" s="1">
        <f t="shared" si="23"/>
        <v>0</v>
      </c>
    </row>
    <row r="212" spans="1:13" x14ac:dyDescent="0.25">
      <c r="A212" s="1"/>
      <c r="B212" s="2"/>
      <c r="C212" s="1"/>
      <c r="D212" s="1"/>
      <c r="E212" s="7"/>
      <c r="F212" s="7">
        <f t="shared" si="18"/>
        <v>0</v>
      </c>
      <c r="G212" s="7"/>
      <c r="H212" s="7"/>
      <c r="I212" s="2" t="str">
        <f t="shared" si="19"/>
        <v/>
      </c>
      <c r="J212" s="1" t="str">
        <f t="shared" ca="1" si="20"/>
        <v/>
      </c>
      <c r="K212" s="3" t="str">
        <f t="shared" ca="1" si="21"/>
        <v/>
      </c>
      <c r="L212" s="1">
        <f t="shared" si="22"/>
        <v>0</v>
      </c>
      <c r="M212" s="1">
        <f t="shared" si="23"/>
        <v>0</v>
      </c>
    </row>
    <row r="213" spans="1:13" x14ac:dyDescent="0.25">
      <c r="A213" s="1"/>
      <c r="B213" s="2"/>
      <c r="C213" s="1"/>
      <c r="D213" s="1"/>
      <c r="E213" s="7"/>
      <c r="F213" s="7">
        <f t="shared" si="18"/>
        <v>0</v>
      </c>
      <c r="G213" s="7"/>
      <c r="H213" s="7"/>
      <c r="I213" s="2" t="str">
        <f t="shared" si="19"/>
        <v/>
      </c>
      <c r="J213" s="1" t="str">
        <f t="shared" ca="1" si="20"/>
        <v/>
      </c>
      <c r="K213" s="3" t="str">
        <f t="shared" ca="1" si="21"/>
        <v/>
      </c>
      <c r="L213" s="1">
        <f t="shared" si="22"/>
        <v>0</v>
      </c>
      <c r="M213" s="1">
        <f t="shared" si="23"/>
        <v>0</v>
      </c>
    </row>
    <row r="214" spans="1:13" x14ac:dyDescent="0.25">
      <c r="A214" s="1"/>
      <c r="B214" s="2"/>
      <c r="C214" s="1"/>
      <c r="D214" s="1"/>
      <c r="E214" s="7"/>
      <c r="F214" s="7">
        <f t="shared" si="18"/>
        <v>0</v>
      </c>
      <c r="G214" s="7"/>
      <c r="H214" s="7"/>
      <c r="I214" s="2" t="str">
        <f t="shared" si="19"/>
        <v/>
      </c>
      <c r="J214" s="1" t="str">
        <f t="shared" ca="1" si="20"/>
        <v/>
      </c>
      <c r="K214" s="3" t="str">
        <f t="shared" ca="1" si="21"/>
        <v/>
      </c>
      <c r="L214" s="1">
        <f t="shared" si="22"/>
        <v>0</v>
      </c>
      <c r="M214" s="1">
        <f t="shared" si="23"/>
        <v>0</v>
      </c>
    </row>
    <row r="215" spans="1:13" x14ac:dyDescent="0.25">
      <c r="A215" s="1"/>
      <c r="B215" s="2"/>
      <c r="C215" s="1"/>
      <c r="D215" s="1"/>
      <c r="E215" s="7"/>
      <c r="F215" s="7">
        <f t="shared" si="18"/>
        <v>0</v>
      </c>
      <c r="G215" s="7"/>
      <c r="H215" s="7"/>
      <c r="I215" s="2" t="str">
        <f t="shared" si="19"/>
        <v/>
      </c>
      <c r="J215" s="1" t="str">
        <f t="shared" ca="1" si="20"/>
        <v/>
      </c>
      <c r="K215" s="3" t="str">
        <f t="shared" ca="1" si="21"/>
        <v/>
      </c>
      <c r="L215" s="1">
        <f t="shared" si="22"/>
        <v>0</v>
      </c>
      <c r="M215" s="1">
        <f t="shared" si="23"/>
        <v>0</v>
      </c>
    </row>
    <row r="216" spans="1:13" x14ac:dyDescent="0.25">
      <c r="A216" s="1"/>
      <c r="B216" s="2"/>
      <c r="C216" s="1"/>
      <c r="D216" s="1"/>
      <c r="E216" s="7"/>
      <c r="F216" s="7">
        <f t="shared" si="18"/>
        <v>0</v>
      </c>
      <c r="G216" s="7"/>
      <c r="H216" s="7"/>
      <c r="I216" s="2" t="str">
        <f t="shared" si="19"/>
        <v/>
      </c>
      <c r="J216" s="1" t="str">
        <f t="shared" ca="1" si="20"/>
        <v/>
      </c>
      <c r="K216" s="3" t="str">
        <f t="shared" ca="1" si="21"/>
        <v/>
      </c>
      <c r="L216" s="1">
        <f t="shared" si="22"/>
        <v>0</v>
      </c>
      <c r="M216" s="1">
        <f t="shared" si="23"/>
        <v>0</v>
      </c>
    </row>
    <row r="217" spans="1:13" x14ac:dyDescent="0.25">
      <c r="A217" s="1"/>
      <c r="B217" s="2"/>
      <c r="C217" s="1"/>
      <c r="D217" s="1"/>
      <c r="E217" s="7"/>
      <c r="F217" s="7">
        <f t="shared" si="18"/>
        <v>0</v>
      </c>
      <c r="G217" s="7"/>
      <c r="H217" s="7"/>
      <c r="I217" s="2" t="str">
        <f t="shared" si="19"/>
        <v/>
      </c>
      <c r="J217" s="1" t="str">
        <f t="shared" ca="1" si="20"/>
        <v/>
      </c>
      <c r="K217" s="3" t="str">
        <f t="shared" ca="1" si="21"/>
        <v/>
      </c>
      <c r="L217" s="1">
        <f t="shared" si="22"/>
        <v>0</v>
      </c>
      <c r="M217" s="1">
        <f t="shared" si="23"/>
        <v>0</v>
      </c>
    </row>
    <row r="218" spans="1:13" x14ac:dyDescent="0.25">
      <c r="A218" s="1"/>
      <c r="B218" s="2"/>
      <c r="C218" s="1"/>
      <c r="D218" s="1"/>
      <c r="E218" s="7"/>
      <c r="F218" s="7">
        <f t="shared" si="18"/>
        <v>0</v>
      </c>
      <c r="G218" s="7"/>
      <c r="H218" s="7"/>
      <c r="I218" s="2" t="str">
        <f t="shared" si="19"/>
        <v/>
      </c>
      <c r="J218" s="1" t="str">
        <f t="shared" ca="1" si="20"/>
        <v/>
      </c>
      <c r="K218" s="3" t="str">
        <f t="shared" ca="1" si="21"/>
        <v/>
      </c>
      <c r="L218" s="1">
        <f t="shared" si="22"/>
        <v>0</v>
      </c>
      <c r="M218" s="1">
        <f t="shared" si="23"/>
        <v>0</v>
      </c>
    </row>
    <row r="219" spans="1:13" x14ac:dyDescent="0.25">
      <c r="A219" s="1"/>
      <c r="B219" s="2"/>
      <c r="C219" s="1"/>
      <c r="D219" s="1"/>
      <c r="E219" s="7"/>
      <c r="F219" s="7">
        <f t="shared" si="18"/>
        <v>0</v>
      </c>
      <c r="G219" s="7"/>
      <c r="H219" s="7"/>
      <c r="I219" s="2" t="str">
        <f t="shared" si="19"/>
        <v/>
      </c>
      <c r="J219" s="1" t="str">
        <f t="shared" ca="1" si="20"/>
        <v/>
      </c>
      <c r="K219" s="3" t="str">
        <f t="shared" ca="1" si="21"/>
        <v/>
      </c>
      <c r="L219" s="1">
        <f t="shared" si="22"/>
        <v>0</v>
      </c>
      <c r="M219" s="1">
        <f t="shared" si="23"/>
        <v>0</v>
      </c>
    </row>
    <row r="220" spans="1:13" x14ac:dyDescent="0.25">
      <c r="A220" s="1"/>
      <c r="B220" s="2"/>
      <c r="C220" s="1"/>
      <c r="D220" s="1"/>
      <c r="E220" s="7"/>
      <c r="F220" s="7">
        <f t="shared" si="18"/>
        <v>0</v>
      </c>
      <c r="G220" s="7"/>
      <c r="H220" s="7"/>
      <c r="I220" s="2" t="str">
        <f t="shared" si="19"/>
        <v/>
      </c>
      <c r="J220" s="1" t="str">
        <f t="shared" ca="1" si="20"/>
        <v/>
      </c>
      <c r="K220" s="3" t="str">
        <f t="shared" ca="1" si="21"/>
        <v/>
      </c>
      <c r="L220" s="1">
        <f t="shared" si="22"/>
        <v>0</v>
      </c>
      <c r="M220" s="1">
        <f t="shared" si="23"/>
        <v>0</v>
      </c>
    </row>
    <row r="221" spans="1:13" x14ac:dyDescent="0.25">
      <c r="A221" s="1"/>
      <c r="B221" s="2"/>
      <c r="C221" s="1"/>
      <c r="D221" s="1"/>
      <c r="E221" s="7"/>
      <c r="F221" s="7">
        <f t="shared" si="18"/>
        <v>0</v>
      </c>
      <c r="G221" s="7"/>
      <c r="H221" s="7"/>
      <c r="I221" s="2" t="str">
        <f t="shared" si="19"/>
        <v/>
      </c>
      <c r="J221" s="1" t="str">
        <f t="shared" ca="1" si="20"/>
        <v/>
      </c>
      <c r="K221" s="3" t="str">
        <f t="shared" ca="1" si="21"/>
        <v/>
      </c>
      <c r="L221" s="1">
        <f t="shared" si="22"/>
        <v>0</v>
      </c>
      <c r="M221" s="1">
        <f t="shared" si="23"/>
        <v>0</v>
      </c>
    </row>
    <row r="222" spans="1:13" x14ac:dyDescent="0.25">
      <c r="A222" s="1"/>
      <c r="B222" s="2"/>
      <c r="C222" s="1"/>
      <c r="D222" s="1"/>
      <c r="E222" s="7"/>
      <c r="F222" s="7">
        <f t="shared" si="18"/>
        <v>0</v>
      </c>
      <c r="G222" s="7"/>
      <c r="H222" s="7"/>
      <c r="I222" s="2" t="str">
        <f t="shared" si="19"/>
        <v/>
      </c>
      <c r="J222" s="1" t="str">
        <f t="shared" ca="1" si="20"/>
        <v/>
      </c>
      <c r="K222" s="3" t="str">
        <f t="shared" ca="1" si="21"/>
        <v/>
      </c>
      <c r="L222" s="1">
        <f t="shared" si="22"/>
        <v>0</v>
      </c>
      <c r="M222" s="1">
        <f t="shared" si="23"/>
        <v>0</v>
      </c>
    </row>
    <row r="223" spans="1:13" x14ac:dyDescent="0.25">
      <c r="A223" s="1"/>
      <c r="B223" s="2"/>
      <c r="C223" s="1"/>
      <c r="D223" s="1"/>
      <c r="E223" s="7"/>
      <c r="F223" s="7">
        <f t="shared" si="18"/>
        <v>0</v>
      </c>
      <c r="G223" s="7"/>
      <c r="H223" s="7"/>
      <c r="I223" s="2" t="str">
        <f t="shared" si="19"/>
        <v/>
      </c>
      <c r="J223" s="1" t="str">
        <f t="shared" ca="1" si="20"/>
        <v/>
      </c>
      <c r="K223" s="3" t="str">
        <f t="shared" ca="1" si="21"/>
        <v/>
      </c>
      <c r="L223" s="1">
        <f t="shared" si="22"/>
        <v>0</v>
      </c>
      <c r="M223" s="1">
        <f t="shared" si="23"/>
        <v>0</v>
      </c>
    </row>
    <row r="224" spans="1:13" x14ac:dyDescent="0.25">
      <c r="A224" s="1"/>
      <c r="B224" s="2"/>
      <c r="C224" s="1"/>
      <c r="D224" s="1"/>
      <c r="E224" s="7"/>
      <c r="F224" s="7">
        <f t="shared" si="18"/>
        <v>0</v>
      </c>
      <c r="G224" s="7"/>
      <c r="H224" s="7"/>
      <c r="I224" s="2" t="str">
        <f t="shared" si="19"/>
        <v/>
      </c>
      <c r="J224" s="1" t="str">
        <f t="shared" ca="1" si="20"/>
        <v/>
      </c>
      <c r="K224" s="3" t="str">
        <f t="shared" ca="1" si="21"/>
        <v/>
      </c>
      <c r="L224" s="1">
        <f t="shared" si="22"/>
        <v>0</v>
      </c>
      <c r="M224" s="1">
        <f t="shared" si="23"/>
        <v>0</v>
      </c>
    </row>
    <row r="225" spans="1:13" x14ac:dyDescent="0.25">
      <c r="A225" s="1"/>
      <c r="B225" s="2"/>
      <c r="C225" s="1"/>
      <c r="D225" s="1"/>
      <c r="E225" s="7"/>
      <c r="F225" s="7">
        <f t="shared" si="18"/>
        <v>0</v>
      </c>
      <c r="G225" s="7"/>
      <c r="H225" s="7"/>
      <c r="I225" s="2" t="str">
        <f t="shared" si="19"/>
        <v/>
      </c>
      <c r="J225" s="1" t="str">
        <f t="shared" ca="1" si="20"/>
        <v/>
      </c>
      <c r="K225" s="3" t="str">
        <f t="shared" ca="1" si="21"/>
        <v/>
      </c>
      <c r="L225" s="1">
        <f t="shared" si="22"/>
        <v>0</v>
      </c>
      <c r="M225" s="1">
        <f t="shared" si="23"/>
        <v>0</v>
      </c>
    </row>
    <row r="226" spans="1:13" x14ac:dyDescent="0.25">
      <c r="A226" s="1"/>
      <c r="B226" s="2"/>
      <c r="C226" s="1"/>
      <c r="D226" s="1"/>
      <c r="E226" s="7"/>
      <c r="F226" s="7">
        <f t="shared" si="18"/>
        <v>0</v>
      </c>
      <c r="G226" s="7"/>
      <c r="H226" s="7"/>
      <c r="I226" s="2" t="str">
        <f t="shared" si="19"/>
        <v/>
      </c>
      <c r="J226" s="1" t="str">
        <f t="shared" ca="1" si="20"/>
        <v/>
      </c>
      <c r="K226" s="3" t="str">
        <f t="shared" ca="1" si="21"/>
        <v/>
      </c>
      <c r="L226" s="1">
        <f t="shared" si="22"/>
        <v>0</v>
      </c>
      <c r="M226" s="1">
        <f t="shared" si="23"/>
        <v>0</v>
      </c>
    </row>
    <row r="227" spans="1:13" x14ac:dyDescent="0.25">
      <c r="A227" s="1"/>
      <c r="B227" s="2"/>
      <c r="C227" s="1"/>
      <c r="D227" s="1"/>
      <c r="E227" s="7"/>
      <c r="F227" s="7">
        <f t="shared" si="18"/>
        <v>0</v>
      </c>
      <c r="G227" s="7"/>
      <c r="H227" s="7"/>
      <c r="I227" s="2" t="str">
        <f t="shared" si="19"/>
        <v/>
      </c>
      <c r="J227" s="1" t="str">
        <f t="shared" ca="1" si="20"/>
        <v/>
      </c>
      <c r="K227" s="3" t="str">
        <f t="shared" ca="1" si="21"/>
        <v/>
      </c>
      <c r="L227" s="1">
        <f t="shared" si="22"/>
        <v>0</v>
      </c>
      <c r="M227" s="1">
        <f t="shared" si="23"/>
        <v>0</v>
      </c>
    </row>
    <row r="228" spans="1:13" x14ac:dyDescent="0.25">
      <c r="A228" s="1"/>
      <c r="B228" s="2"/>
      <c r="C228" s="1"/>
      <c r="D228" s="1"/>
      <c r="E228" s="7"/>
      <c r="F228" s="7">
        <f t="shared" si="18"/>
        <v>0</v>
      </c>
      <c r="G228" s="7"/>
      <c r="H228" s="7"/>
      <c r="I228" s="2" t="str">
        <f t="shared" si="19"/>
        <v/>
      </c>
      <c r="J228" s="1" t="str">
        <f t="shared" ca="1" si="20"/>
        <v/>
      </c>
      <c r="K228" s="3" t="str">
        <f t="shared" ca="1" si="21"/>
        <v/>
      </c>
      <c r="L228" s="1">
        <f t="shared" si="22"/>
        <v>0</v>
      </c>
      <c r="M228" s="1">
        <f t="shared" si="23"/>
        <v>0</v>
      </c>
    </row>
    <row r="229" spans="1:13" x14ac:dyDescent="0.25">
      <c r="A229" s="1"/>
      <c r="B229" s="2"/>
      <c r="C229" s="1"/>
      <c r="D229" s="1"/>
      <c r="E229" s="7"/>
      <c r="F229" s="7">
        <f t="shared" si="18"/>
        <v>0</v>
      </c>
      <c r="G229" s="7"/>
      <c r="H229" s="7"/>
      <c r="I229" s="2" t="str">
        <f t="shared" si="19"/>
        <v/>
      </c>
      <c r="J229" s="1" t="str">
        <f t="shared" ca="1" si="20"/>
        <v/>
      </c>
      <c r="K229" s="3" t="str">
        <f t="shared" ca="1" si="21"/>
        <v/>
      </c>
      <c r="L229" s="1">
        <f t="shared" si="22"/>
        <v>0</v>
      </c>
      <c r="M229" s="1">
        <f t="shared" si="23"/>
        <v>0</v>
      </c>
    </row>
    <row r="230" spans="1:13" x14ac:dyDescent="0.25">
      <c r="A230" s="1"/>
      <c r="B230" s="2"/>
      <c r="C230" s="1"/>
      <c r="D230" s="1"/>
      <c r="E230" s="7"/>
      <c r="F230" s="7">
        <f t="shared" si="18"/>
        <v>0</v>
      </c>
      <c r="G230" s="7"/>
      <c r="H230" s="7"/>
      <c r="I230" s="2" t="str">
        <f t="shared" si="19"/>
        <v/>
      </c>
      <c r="J230" s="1" t="str">
        <f t="shared" ca="1" si="20"/>
        <v/>
      </c>
      <c r="K230" s="3" t="str">
        <f t="shared" ca="1" si="21"/>
        <v/>
      </c>
      <c r="L230" s="1">
        <f t="shared" si="22"/>
        <v>0</v>
      </c>
      <c r="M230" s="1">
        <f t="shared" si="23"/>
        <v>0</v>
      </c>
    </row>
    <row r="231" spans="1:13" x14ac:dyDescent="0.25">
      <c r="A231" s="1"/>
      <c r="B231" s="2"/>
      <c r="C231" s="1"/>
      <c r="D231" s="1"/>
      <c r="E231" s="7"/>
      <c r="F231" s="7">
        <f t="shared" si="18"/>
        <v>0</v>
      </c>
      <c r="G231" s="7"/>
      <c r="H231" s="7"/>
      <c r="I231" s="2" t="str">
        <f t="shared" si="19"/>
        <v/>
      </c>
      <c r="J231" s="1" t="str">
        <f t="shared" ca="1" si="20"/>
        <v/>
      </c>
      <c r="K231" s="3" t="str">
        <f t="shared" ca="1" si="21"/>
        <v/>
      </c>
      <c r="L231" s="1">
        <f t="shared" si="22"/>
        <v>0</v>
      </c>
      <c r="M231" s="1">
        <f t="shared" si="23"/>
        <v>0</v>
      </c>
    </row>
    <row r="232" spans="1:13" x14ac:dyDescent="0.25">
      <c r="A232" s="1"/>
      <c r="B232" s="2"/>
      <c r="C232" s="1"/>
      <c r="D232" s="1"/>
      <c r="E232" s="7"/>
      <c r="F232" s="7">
        <f t="shared" si="18"/>
        <v>0</v>
      </c>
      <c r="G232" s="7"/>
      <c r="H232" s="7"/>
      <c r="I232" s="2" t="str">
        <f t="shared" si="19"/>
        <v/>
      </c>
      <c r="J232" s="1" t="str">
        <f t="shared" ca="1" si="20"/>
        <v/>
      </c>
      <c r="K232" s="3" t="str">
        <f t="shared" ca="1" si="21"/>
        <v/>
      </c>
      <c r="L232" s="1">
        <f t="shared" si="22"/>
        <v>0</v>
      </c>
      <c r="M232" s="1">
        <f t="shared" si="23"/>
        <v>0</v>
      </c>
    </row>
    <row r="233" spans="1:13" x14ac:dyDescent="0.25">
      <c r="A233" s="1"/>
      <c r="B233" s="2"/>
      <c r="C233" s="1"/>
      <c r="D233" s="1"/>
      <c r="E233" s="7"/>
      <c r="F233" s="7">
        <f t="shared" si="18"/>
        <v>0</v>
      </c>
      <c r="G233" s="7"/>
      <c r="H233" s="7"/>
      <c r="I233" s="2" t="str">
        <f t="shared" si="19"/>
        <v/>
      </c>
      <c r="J233" s="1" t="str">
        <f t="shared" ca="1" si="20"/>
        <v/>
      </c>
      <c r="K233" s="3" t="str">
        <f t="shared" ca="1" si="21"/>
        <v/>
      </c>
      <c r="L233" s="1">
        <f t="shared" si="22"/>
        <v>0</v>
      </c>
      <c r="M233" s="1">
        <f t="shared" si="23"/>
        <v>0</v>
      </c>
    </row>
    <row r="234" spans="1:13" x14ac:dyDescent="0.25">
      <c r="A234" s="1"/>
      <c r="B234" s="2"/>
      <c r="C234" s="1"/>
      <c r="D234" s="1"/>
      <c r="E234" s="7"/>
      <c r="F234" s="7">
        <f t="shared" si="18"/>
        <v>0</v>
      </c>
      <c r="G234" s="7"/>
      <c r="H234" s="7"/>
      <c r="I234" s="2" t="str">
        <f t="shared" si="19"/>
        <v/>
      </c>
      <c r="J234" s="1" t="str">
        <f t="shared" ca="1" si="20"/>
        <v/>
      </c>
      <c r="K234" s="3" t="str">
        <f t="shared" ca="1" si="21"/>
        <v/>
      </c>
      <c r="L234" s="1">
        <f t="shared" si="22"/>
        <v>0</v>
      </c>
      <c r="M234" s="1">
        <f t="shared" si="23"/>
        <v>0</v>
      </c>
    </row>
    <row r="235" spans="1:13" x14ac:dyDescent="0.25">
      <c r="A235" s="1"/>
      <c r="B235" s="2"/>
      <c r="C235" s="1"/>
      <c r="D235" s="1"/>
      <c r="E235" s="7"/>
      <c r="F235" s="7">
        <f t="shared" si="18"/>
        <v>0</v>
      </c>
      <c r="G235" s="7"/>
      <c r="H235" s="7"/>
      <c r="I235" s="2" t="str">
        <f t="shared" si="19"/>
        <v/>
      </c>
      <c r="J235" s="1" t="str">
        <f t="shared" ca="1" si="20"/>
        <v/>
      </c>
      <c r="K235" s="3" t="str">
        <f t="shared" ca="1" si="21"/>
        <v/>
      </c>
      <c r="L235" s="1">
        <f t="shared" si="22"/>
        <v>0</v>
      </c>
      <c r="M235" s="1">
        <f t="shared" si="23"/>
        <v>0</v>
      </c>
    </row>
    <row r="236" spans="1:13" x14ac:dyDescent="0.25">
      <c r="A236" s="1"/>
      <c r="B236" s="2"/>
      <c r="C236" s="1"/>
      <c r="D236" s="1"/>
      <c r="E236" s="7"/>
      <c r="F236" s="7">
        <f t="shared" si="18"/>
        <v>0</v>
      </c>
      <c r="G236" s="7"/>
      <c r="H236" s="7"/>
      <c r="I236" s="2" t="str">
        <f t="shared" si="19"/>
        <v/>
      </c>
      <c r="J236" s="1" t="str">
        <f t="shared" ca="1" si="20"/>
        <v/>
      </c>
      <c r="K236" s="3" t="str">
        <f t="shared" ca="1" si="21"/>
        <v/>
      </c>
      <c r="L236" s="1">
        <f t="shared" si="22"/>
        <v>0</v>
      </c>
      <c r="M236" s="1">
        <f t="shared" si="23"/>
        <v>0</v>
      </c>
    </row>
    <row r="237" spans="1:13" x14ac:dyDescent="0.25">
      <c r="A237" s="1"/>
      <c r="B237" s="2"/>
      <c r="C237" s="1"/>
      <c r="D237" s="1"/>
      <c r="E237" s="7"/>
      <c r="F237" s="7">
        <f t="shared" si="18"/>
        <v>0</v>
      </c>
      <c r="G237" s="7"/>
      <c r="H237" s="7"/>
      <c r="I237" s="2" t="str">
        <f t="shared" si="19"/>
        <v/>
      </c>
      <c r="J237" s="1" t="str">
        <f t="shared" ca="1" si="20"/>
        <v/>
      </c>
      <c r="K237" s="3" t="str">
        <f t="shared" ca="1" si="21"/>
        <v/>
      </c>
      <c r="L237" s="1">
        <f t="shared" si="22"/>
        <v>0</v>
      </c>
      <c r="M237" s="1">
        <f t="shared" si="23"/>
        <v>0</v>
      </c>
    </row>
    <row r="238" spans="1:13" x14ac:dyDescent="0.25">
      <c r="A238" s="1"/>
      <c r="B238" s="2"/>
      <c r="C238" s="1"/>
      <c r="D238" s="1"/>
      <c r="E238" s="7"/>
      <c r="F238" s="7">
        <f t="shared" si="18"/>
        <v>0</v>
      </c>
      <c r="G238" s="7"/>
      <c r="H238" s="7"/>
      <c r="I238" s="2" t="str">
        <f t="shared" si="19"/>
        <v/>
      </c>
      <c r="J238" s="1" t="str">
        <f t="shared" ca="1" si="20"/>
        <v/>
      </c>
      <c r="K238" s="3" t="str">
        <f t="shared" ca="1" si="21"/>
        <v/>
      </c>
      <c r="L238" s="1">
        <f t="shared" si="22"/>
        <v>0</v>
      </c>
      <c r="M238" s="1">
        <f t="shared" si="23"/>
        <v>0</v>
      </c>
    </row>
    <row r="239" spans="1:13" x14ac:dyDescent="0.25">
      <c r="A239" s="1"/>
      <c r="B239" s="2"/>
      <c r="C239" s="1"/>
      <c r="D239" s="1"/>
      <c r="E239" s="7"/>
      <c r="F239" s="7">
        <f t="shared" si="18"/>
        <v>0</v>
      </c>
      <c r="G239" s="7"/>
      <c r="H239" s="7"/>
      <c r="I239" s="2" t="str">
        <f t="shared" si="19"/>
        <v/>
      </c>
      <c r="J239" s="1" t="str">
        <f t="shared" ca="1" si="20"/>
        <v/>
      </c>
      <c r="K239" s="3" t="str">
        <f t="shared" ca="1" si="21"/>
        <v/>
      </c>
      <c r="L239" s="1">
        <f t="shared" si="22"/>
        <v>0</v>
      </c>
      <c r="M239" s="1">
        <f t="shared" si="23"/>
        <v>0</v>
      </c>
    </row>
    <row r="240" spans="1:13" x14ac:dyDescent="0.25">
      <c r="A240" s="1"/>
      <c r="B240" s="2"/>
      <c r="C240" s="1"/>
      <c r="D240" s="1"/>
      <c r="E240" s="7"/>
      <c r="F240" s="7">
        <f t="shared" si="18"/>
        <v>0</v>
      </c>
      <c r="G240" s="7"/>
      <c r="H240" s="7"/>
      <c r="I240" s="2" t="str">
        <f t="shared" si="19"/>
        <v/>
      </c>
      <c r="J240" s="1" t="str">
        <f t="shared" ca="1" si="20"/>
        <v/>
      </c>
      <c r="K240" s="3" t="str">
        <f t="shared" ca="1" si="21"/>
        <v/>
      </c>
      <c r="L240" s="1">
        <f t="shared" si="22"/>
        <v>0</v>
      </c>
      <c r="M240" s="1">
        <f t="shared" si="23"/>
        <v>0</v>
      </c>
    </row>
    <row r="241" spans="1:13" x14ac:dyDescent="0.25">
      <c r="A241" s="1"/>
      <c r="B241" s="2"/>
      <c r="C241" s="1"/>
      <c r="D241" s="1"/>
      <c r="E241" s="7"/>
      <c r="F241" s="7">
        <f t="shared" si="18"/>
        <v>0</v>
      </c>
      <c r="G241" s="7"/>
      <c r="H241" s="7"/>
      <c r="I241" s="2" t="str">
        <f t="shared" si="19"/>
        <v/>
      </c>
      <c r="J241" s="1" t="str">
        <f t="shared" ca="1" si="20"/>
        <v/>
      </c>
      <c r="K241" s="3" t="str">
        <f t="shared" ca="1" si="21"/>
        <v/>
      </c>
      <c r="L241" s="1">
        <f t="shared" si="22"/>
        <v>0</v>
      </c>
      <c r="M241" s="1">
        <f t="shared" si="23"/>
        <v>0</v>
      </c>
    </row>
    <row r="242" spans="1:13" x14ac:dyDescent="0.25">
      <c r="A242" s="1"/>
      <c r="B242" s="2"/>
      <c r="C242" s="1"/>
      <c r="D242" s="1"/>
      <c r="E242" s="7"/>
      <c r="F242" s="7">
        <f t="shared" si="18"/>
        <v>0</v>
      </c>
      <c r="G242" s="7"/>
      <c r="H242" s="7"/>
      <c r="I242" s="2" t="str">
        <f t="shared" si="19"/>
        <v/>
      </c>
      <c r="J242" s="1" t="str">
        <f t="shared" ca="1" si="20"/>
        <v/>
      </c>
      <c r="K242" s="3" t="str">
        <f t="shared" ca="1" si="21"/>
        <v/>
      </c>
      <c r="L242" s="1">
        <f t="shared" si="22"/>
        <v>0</v>
      </c>
      <c r="M242" s="1">
        <f t="shared" si="23"/>
        <v>0</v>
      </c>
    </row>
    <row r="243" spans="1:13" x14ac:dyDescent="0.25">
      <c r="A243" s="1"/>
      <c r="B243" s="2"/>
      <c r="C243" s="1"/>
      <c r="D243" s="1"/>
      <c r="E243" s="7"/>
      <c r="F243" s="7">
        <f t="shared" si="18"/>
        <v>0</v>
      </c>
      <c r="G243" s="7"/>
      <c r="H243" s="7"/>
      <c r="I243" s="2" t="str">
        <f t="shared" si="19"/>
        <v/>
      </c>
      <c r="J243" s="1" t="str">
        <f t="shared" ca="1" si="20"/>
        <v/>
      </c>
      <c r="K243" s="3" t="str">
        <f t="shared" ca="1" si="21"/>
        <v/>
      </c>
      <c r="L243" s="1">
        <f t="shared" si="22"/>
        <v>0</v>
      </c>
      <c r="M243" s="1">
        <f t="shared" si="23"/>
        <v>0</v>
      </c>
    </row>
    <row r="244" spans="1:13" x14ac:dyDescent="0.25">
      <c r="A244" s="1"/>
      <c r="B244" s="2"/>
      <c r="C244" s="1"/>
      <c r="D244" s="1"/>
      <c r="E244" s="7"/>
      <c r="F244" s="7">
        <f t="shared" si="18"/>
        <v>0</v>
      </c>
      <c r="G244" s="7"/>
      <c r="H244" s="7"/>
      <c r="I244" s="2" t="str">
        <f t="shared" si="19"/>
        <v/>
      </c>
      <c r="J244" s="1" t="str">
        <f t="shared" ca="1" si="20"/>
        <v/>
      </c>
      <c r="K244" s="3" t="str">
        <f t="shared" ca="1" si="21"/>
        <v/>
      </c>
      <c r="L244" s="1">
        <f t="shared" si="22"/>
        <v>0</v>
      </c>
      <c r="M244" s="1">
        <f t="shared" si="23"/>
        <v>0</v>
      </c>
    </row>
    <row r="245" spans="1:13" x14ac:dyDescent="0.25">
      <c r="A245" s="1"/>
      <c r="B245" s="2"/>
      <c r="C245" s="1"/>
      <c r="D245" s="1"/>
      <c r="E245" s="7"/>
      <c r="F245" s="7">
        <f t="shared" si="18"/>
        <v>0</v>
      </c>
      <c r="G245" s="7"/>
      <c r="H245" s="7"/>
      <c r="I245" s="2" t="str">
        <f t="shared" si="19"/>
        <v/>
      </c>
      <c r="J245" s="1" t="str">
        <f t="shared" ca="1" si="20"/>
        <v/>
      </c>
      <c r="K245" s="3" t="str">
        <f t="shared" ca="1" si="21"/>
        <v/>
      </c>
      <c r="L245" s="1">
        <f t="shared" si="22"/>
        <v>0</v>
      </c>
      <c r="M245" s="1">
        <f t="shared" si="23"/>
        <v>0</v>
      </c>
    </row>
    <row r="246" spans="1:13" x14ac:dyDescent="0.25">
      <c r="A246" s="1"/>
      <c r="B246" s="2"/>
      <c r="C246" s="1"/>
      <c r="D246" s="1"/>
      <c r="E246" s="7"/>
      <c r="F246" s="7">
        <f t="shared" si="18"/>
        <v>0</v>
      </c>
      <c r="G246" s="7"/>
      <c r="H246" s="7"/>
      <c r="I246" s="2" t="str">
        <f t="shared" si="19"/>
        <v/>
      </c>
      <c r="J246" s="1" t="str">
        <f t="shared" ca="1" si="20"/>
        <v/>
      </c>
      <c r="K246" s="3" t="str">
        <f t="shared" ca="1" si="21"/>
        <v/>
      </c>
      <c r="L246" s="1">
        <f t="shared" si="22"/>
        <v>0</v>
      </c>
      <c r="M246" s="1">
        <f t="shared" si="23"/>
        <v>0</v>
      </c>
    </row>
    <row r="247" spans="1:13" x14ac:dyDescent="0.25">
      <c r="A247" s="1"/>
      <c r="B247" s="2"/>
      <c r="C247" s="1"/>
      <c r="D247" s="1"/>
      <c r="E247" s="7"/>
      <c r="F247" s="7">
        <f t="shared" si="18"/>
        <v>0</v>
      </c>
      <c r="G247" s="7"/>
      <c r="H247" s="7"/>
      <c r="I247" s="2" t="str">
        <f t="shared" si="19"/>
        <v/>
      </c>
      <c r="J247" s="1" t="str">
        <f t="shared" ca="1" si="20"/>
        <v/>
      </c>
      <c r="K247" s="3" t="str">
        <f t="shared" ca="1" si="21"/>
        <v/>
      </c>
      <c r="L247" s="1">
        <f t="shared" si="22"/>
        <v>0</v>
      </c>
      <c r="M247" s="1">
        <f t="shared" si="23"/>
        <v>0</v>
      </c>
    </row>
    <row r="248" spans="1:13" x14ac:dyDescent="0.25">
      <c r="A248" s="1"/>
      <c r="B248" s="2"/>
      <c r="C248" s="1"/>
      <c r="D248" s="1"/>
      <c r="E248" s="7"/>
      <c r="F248" s="7">
        <f t="shared" si="18"/>
        <v>0</v>
      </c>
      <c r="G248" s="7"/>
      <c r="H248" s="7"/>
      <c r="I248" s="2" t="str">
        <f t="shared" si="19"/>
        <v/>
      </c>
      <c r="J248" s="1" t="str">
        <f t="shared" ca="1" si="20"/>
        <v/>
      </c>
      <c r="K248" s="3" t="str">
        <f t="shared" ca="1" si="21"/>
        <v/>
      </c>
      <c r="L248" s="1">
        <f t="shared" si="22"/>
        <v>0</v>
      </c>
      <c r="M248" s="1">
        <f t="shared" si="23"/>
        <v>0</v>
      </c>
    </row>
    <row r="249" spans="1:13" x14ac:dyDescent="0.25">
      <c r="A249" s="1"/>
      <c r="B249" s="2"/>
      <c r="C249" s="1"/>
      <c r="D249" s="1"/>
      <c r="E249" s="7"/>
      <c r="F249" s="7">
        <f t="shared" si="18"/>
        <v>0</v>
      </c>
      <c r="G249" s="7"/>
      <c r="H249" s="7"/>
      <c r="I249" s="2" t="str">
        <f t="shared" si="19"/>
        <v/>
      </c>
      <c r="J249" s="1" t="str">
        <f t="shared" ca="1" si="20"/>
        <v/>
      </c>
      <c r="K249" s="3" t="str">
        <f t="shared" ca="1" si="21"/>
        <v/>
      </c>
      <c r="L249" s="1">
        <f t="shared" si="22"/>
        <v>0</v>
      </c>
      <c r="M249" s="1">
        <f t="shared" si="23"/>
        <v>0</v>
      </c>
    </row>
    <row r="250" spans="1:13" x14ac:dyDescent="0.25">
      <c r="A250" s="1"/>
      <c r="B250" s="2"/>
      <c r="C250" s="1"/>
      <c r="D250" s="1"/>
      <c r="E250" s="7"/>
      <c r="F250" s="7">
        <f t="shared" si="18"/>
        <v>0</v>
      </c>
      <c r="G250" s="7"/>
      <c r="H250" s="7"/>
      <c r="I250" s="2" t="str">
        <f t="shared" si="19"/>
        <v/>
      </c>
      <c r="J250" s="1" t="str">
        <f t="shared" ca="1" si="20"/>
        <v/>
      </c>
      <c r="K250" s="3" t="str">
        <f t="shared" ca="1" si="21"/>
        <v/>
      </c>
      <c r="L250" s="1">
        <f t="shared" si="22"/>
        <v>0</v>
      </c>
      <c r="M250" s="1">
        <f t="shared" si="23"/>
        <v>0</v>
      </c>
    </row>
    <row r="251" spans="1:13" x14ac:dyDescent="0.25">
      <c r="A251" s="1"/>
      <c r="B251" s="2"/>
      <c r="C251" s="1"/>
      <c r="D251" s="1"/>
      <c r="E251" s="7"/>
      <c r="F251" s="7">
        <f t="shared" si="18"/>
        <v>0</v>
      </c>
      <c r="G251" s="7"/>
      <c r="H251" s="7"/>
      <c r="I251" s="2" t="str">
        <f t="shared" si="19"/>
        <v/>
      </c>
      <c r="J251" s="1" t="str">
        <f t="shared" ca="1" si="20"/>
        <v/>
      </c>
      <c r="K251" s="3" t="str">
        <f t="shared" ca="1" si="21"/>
        <v/>
      </c>
      <c r="L251" s="1">
        <f t="shared" si="22"/>
        <v>0</v>
      </c>
      <c r="M251" s="1">
        <f t="shared" si="23"/>
        <v>0</v>
      </c>
    </row>
    <row r="252" spans="1:13" x14ac:dyDescent="0.25">
      <c r="A252" s="1"/>
      <c r="B252" s="2"/>
      <c r="C252" s="1"/>
      <c r="D252" s="1"/>
      <c r="E252" s="7"/>
      <c r="F252" s="7">
        <f t="shared" si="18"/>
        <v>0</v>
      </c>
      <c r="G252" s="7"/>
      <c r="H252" s="7"/>
      <c r="I252" s="2" t="str">
        <f t="shared" si="19"/>
        <v/>
      </c>
      <c r="J252" s="1" t="str">
        <f t="shared" ca="1" si="20"/>
        <v/>
      </c>
      <c r="K252" s="3" t="str">
        <f t="shared" ca="1" si="21"/>
        <v/>
      </c>
      <c r="L252" s="1">
        <f t="shared" si="22"/>
        <v>0</v>
      </c>
      <c r="M252" s="1">
        <f t="shared" si="23"/>
        <v>0</v>
      </c>
    </row>
    <row r="253" spans="1:13" x14ac:dyDescent="0.25">
      <c r="A253" s="1"/>
      <c r="B253" s="2"/>
      <c r="C253" s="1"/>
      <c r="D253" s="1"/>
      <c r="E253" s="7"/>
      <c r="F253" s="7">
        <f t="shared" si="18"/>
        <v>0</v>
      </c>
      <c r="G253" s="7"/>
      <c r="H253" s="7"/>
      <c r="I253" s="2" t="str">
        <f t="shared" si="19"/>
        <v/>
      </c>
      <c r="J253" s="1" t="str">
        <f t="shared" ca="1" si="20"/>
        <v/>
      </c>
      <c r="K253" s="3" t="str">
        <f t="shared" ca="1" si="21"/>
        <v/>
      </c>
      <c r="L253" s="1">
        <f t="shared" si="22"/>
        <v>0</v>
      </c>
      <c r="M253" s="1">
        <f t="shared" si="23"/>
        <v>0</v>
      </c>
    </row>
    <row r="254" spans="1:13" x14ac:dyDescent="0.25">
      <c r="A254" s="1"/>
      <c r="B254" s="2"/>
      <c r="C254" s="1"/>
      <c r="D254" s="1"/>
      <c r="E254" s="7"/>
      <c r="F254" s="7">
        <f t="shared" si="18"/>
        <v>0</v>
      </c>
      <c r="G254" s="7"/>
      <c r="H254" s="7"/>
      <c r="I254" s="2" t="str">
        <f t="shared" si="19"/>
        <v/>
      </c>
      <c r="J254" s="1" t="str">
        <f t="shared" ca="1" si="20"/>
        <v/>
      </c>
      <c r="K254" s="3" t="str">
        <f t="shared" ca="1" si="21"/>
        <v/>
      </c>
      <c r="L254" s="1">
        <f t="shared" si="22"/>
        <v>0</v>
      </c>
      <c r="M254" s="1">
        <f t="shared" si="23"/>
        <v>0</v>
      </c>
    </row>
    <row r="255" spans="1:13" x14ac:dyDescent="0.25">
      <c r="A255" s="1"/>
      <c r="B255" s="2"/>
      <c r="C255" s="1"/>
      <c r="D255" s="1"/>
      <c r="E255" s="7"/>
      <c r="F255" s="7">
        <f t="shared" si="18"/>
        <v>0</v>
      </c>
      <c r="G255" s="7"/>
      <c r="H255" s="7"/>
      <c r="I255" s="2" t="str">
        <f t="shared" si="19"/>
        <v/>
      </c>
      <c r="J255" s="1" t="str">
        <f t="shared" ca="1" si="20"/>
        <v/>
      </c>
      <c r="K255" s="3" t="str">
        <f t="shared" ca="1" si="21"/>
        <v/>
      </c>
      <c r="L255" s="1">
        <f t="shared" si="22"/>
        <v>0</v>
      </c>
      <c r="M255" s="1">
        <f t="shared" si="23"/>
        <v>0</v>
      </c>
    </row>
    <row r="256" spans="1:13" x14ac:dyDescent="0.25">
      <c r="A256" s="1"/>
      <c r="B256" s="2"/>
      <c r="C256" s="1"/>
      <c r="D256" s="1"/>
      <c r="E256" s="7"/>
      <c r="F256" s="7">
        <f t="shared" si="18"/>
        <v>0</v>
      </c>
      <c r="G256" s="7"/>
      <c r="H256" s="7"/>
      <c r="I256" s="2" t="str">
        <f t="shared" si="19"/>
        <v/>
      </c>
      <c r="J256" s="1" t="str">
        <f t="shared" ca="1" si="20"/>
        <v/>
      </c>
      <c r="K256" s="3" t="str">
        <f t="shared" ca="1" si="21"/>
        <v/>
      </c>
      <c r="L256" s="1">
        <f t="shared" si="22"/>
        <v>0</v>
      </c>
      <c r="M256" s="1">
        <f t="shared" si="23"/>
        <v>0</v>
      </c>
    </row>
    <row r="257" spans="1:13" x14ac:dyDescent="0.25">
      <c r="A257" s="1"/>
      <c r="B257" s="2"/>
      <c r="C257" s="1"/>
      <c r="D257" s="1"/>
      <c r="E257" s="7"/>
      <c r="F257" s="7">
        <f t="shared" si="18"/>
        <v>0</v>
      </c>
      <c r="G257" s="7"/>
      <c r="H257" s="7"/>
      <c r="I257" s="2" t="str">
        <f t="shared" si="19"/>
        <v/>
      </c>
      <c r="J257" s="1" t="str">
        <f t="shared" ca="1" si="20"/>
        <v/>
      </c>
      <c r="K257" s="3" t="str">
        <f t="shared" ca="1" si="21"/>
        <v/>
      </c>
      <c r="L257" s="1">
        <f t="shared" si="22"/>
        <v>0</v>
      </c>
      <c r="M257" s="1">
        <f t="shared" si="23"/>
        <v>0</v>
      </c>
    </row>
    <row r="258" spans="1:13" x14ac:dyDescent="0.25">
      <c r="A258" s="1"/>
      <c r="B258" s="2"/>
      <c r="C258" s="1"/>
      <c r="D258" s="1"/>
      <c r="E258" s="7"/>
      <c r="F258" s="7">
        <f t="shared" ref="F258:F291" si="24">G258-H258</f>
        <v>0</v>
      </c>
      <c r="G258" s="7"/>
      <c r="H258" s="7"/>
      <c r="I258" s="2" t="str">
        <f t="shared" ref="I258:I291" si="25">IF(F258=0,"",IF(C258="CRED",B258+(INT((G258-F258)/E258)+1)*D258,B258+INT((G258-F258)/E258)*D258))</f>
        <v/>
      </c>
      <c r="J258" s="1" t="str">
        <f t="shared" ref="J258:J291" ca="1" si="26">IF(I258="","",I258-TODAY())</f>
        <v/>
      </c>
      <c r="K258" s="3" t="str">
        <f t="shared" ref="K258:K290" ca="1" si="27">IF(J258="","",IF(J258&lt;0,"VENCIDO",IF(J258&lt;=1,"PRÓXIMO","VIGENTE")))</f>
        <v/>
      </c>
      <c r="L258" s="1">
        <f t="shared" ref="L258:L291" si="28">IF(F258=G258,0,INT((G258-F258)/E258))</f>
        <v>0</v>
      </c>
      <c r="M258" s="1">
        <f t="shared" ref="M258:M291" si="29">IF(F258=0,0,INT(F258/E258)+(IF(MOD(F258,E258)&gt;0,1,0)))</f>
        <v>0</v>
      </c>
    </row>
    <row r="259" spans="1:13" x14ac:dyDescent="0.25">
      <c r="A259" s="1"/>
      <c r="B259" s="2"/>
      <c r="C259" s="1"/>
      <c r="D259" s="1"/>
      <c r="E259" s="7"/>
      <c r="F259" s="7">
        <f t="shared" si="24"/>
        <v>0</v>
      </c>
      <c r="G259" s="7"/>
      <c r="H259" s="7"/>
      <c r="I259" s="2" t="str">
        <f t="shared" si="25"/>
        <v/>
      </c>
      <c r="J259" s="1" t="str">
        <f t="shared" ca="1" si="26"/>
        <v/>
      </c>
      <c r="K259" s="3" t="str">
        <f t="shared" ca="1" si="27"/>
        <v/>
      </c>
      <c r="L259" s="1">
        <f t="shared" si="28"/>
        <v>0</v>
      </c>
      <c r="M259" s="1">
        <f t="shared" si="29"/>
        <v>0</v>
      </c>
    </row>
    <row r="260" spans="1:13" x14ac:dyDescent="0.25">
      <c r="A260" s="1"/>
      <c r="B260" s="2"/>
      <c r="C260" s="1"/>
      <c r="D260" s="1"/>
      <c r="E260" s="7"/>
      <c r="F260" s="7">
        <f t="shared" si="24"/>
        <v>0</v>
      </c>
      <c r="G260" s="7"/>
      <c r="H260" s="7"/>
      <c r="I260" s="2" t="str">
        <f t="shared" si="25"/>
        <v/>
      </c>
      <c r="J260" s="1" t="str">
        <f t="shared" ca="1" si="26"/>
        <v/>
      </c>
      <c r="K260" s="3" t="str">
        <f t="shared" ca="1" si="27"/>
        <v/>
      </c>
      <c r="L260" s="1">
        <f t="shared" si="28"/>
        <v>0</v>
      </c>
      <c r="M260" s="1">
        <f t="shared" si="29"/>
        <v>0</v>
      </c>
    </row>
    <row r="261" spans="1:13" x14ac:dyDescent="0.25">
      <c r="A261" s="1"/>
      <c r="B261" s="2"/>
      <c r="C261" s="1"/>
      <c r="D261" s="1"/>
      <c r="E261" s="7"/>
      <c r="F261" s="7">
        <f t="shared" si="24"/>
        <v>0</v>
      </c>
      <c r="G261" s="7"/>
      <c r="H261" s="7"/>
      <c r="I261" s="2" t="str">
        <f t="shared" si="25"/>
        <v/>
      </c>
      <c r="J261" s="1" t="str">
        <f t="shared" ca="1" si="26"/>
        <v/>
      </c>
      <c r="K261" s="3" t="str">
        <f t="shared" ca="1" si="27"/>
        <v/>
      </c>
      <c r="L261" s="1">
        <f t="shared" si="28"/>
        <v>0</v>
      </c>
      <c r="M261" s="1">
        <f t="shared" si="29"/>
        <v>0</v>
      </c>
    </row>
    <row r="262" spans="1:13" x14ac:dyDescent="0.25">
      <c r="A262" s="1"/>
      <c r="B262" s="2"/>
      <c r="C262" s="1"/>
      <c r="D262" s="1"/>
      <c r="E262" s="7"/>
      <c r="F262" s="7">
        <f t="shared" si="24"/>
        <v>0</v>
      </c>
      <c r="G262" s="7"/>
      <c r="H262" s="7"/>
      <c r="I262" s="2" t="str">
        <f t="shared" si="25"/>
        <v/>
      </c>
      <c r="J262" s="1" t="str">
        <f t="shared" ca="1" si="26"/>
        <v/>
      </c>
      <c r="K262" s="3" t="str">
        <f t="shared" ca="1" si="27"/>
        <v/>
      </c>
      <c r="L262" s="1">
        <f t="shared" si="28"/>
        <v>0</v>
      </c>
      <c r="M262" s="1">
        <f t="shared" si="29"/>
        <v>0</v>
      </c>
    </row>
    <row r="263" spans="1:13" x14ac:dyDescent="0.25">
      <c r="A263" s="1"/>
      <c r="B263" s="2"/>
      <c r="C263" s="1"/>
      <c r="D263" s="1"/>
      <c r="E263" s="7"/>
      <c r="F263" s="7">
        <f t="shared" si="24"/>
        <v>0</v>
      </c>
      <c r="G263" s="7"/>
      <c r="H263" s="7"/>
      <c r="I263" s="2" t="str">
        <f t="shared" si="25"/>
        <v/>
      </c>
      <c r="J263" s="1" t="str">
        <f t="shared" ca="1" si="26"/>
        <v/>
      </c>
      <c r="K263" s="3" t="str">
        <f t="shared" ca="1" si="27"/>
        <v/>
      </c>
      <c r="L263" s="1">
        <f t="shared" si="28"/>
        <v>0</v>
      </c>
      <c r="M263" s="1">
        <f t="shared" si="29"/>
        <v>0</v>
      </c>
    </row>
    <row r="264" spans="1:13" x14ac:dyDescent="0.25">
      <c r="A264" s="1"/>
      <c r="B264" s="2"/>
      <c r="C264" s="1"/>
      <c r="D264" s="1"/>
      <c r="E264" s="7"/>
      <c r="F264" s="7">
        <f t="shared" si="24"/>
        <v>0</v>
      </c>
      <c r="G264" s="7"/>
      <c r="H264" s="7"/>
      <c r="I264" s="2" t="str">
        <f t="shared" si="25"/>
        <v/>
      </c>
      <c r="J264" s="1" t="str">
        <f t="shared" ca="1" si="26"/>
        <v/>
      </c>
      <c r="K264" s="3" t="str">
        <f t="shared" ca="1" si="27"/>
        <v/>
      </c>
      <c r="L264" s="1">
        <f t="shared" si="28"/>
        <v>0</v>
      </c>
      <c r="M264" s="1">
        <f t="shared" si="29"/>
        <v>0</v>
      </c>
    </row>
    <row r="265" spans="1:13" x14ac:dyDescent="0.25">
      <c r="A265" s="1"/>
      <c r="B265" s="2"/>
      <c r="C265" s="1"/>
      <c r="D265" s="1"/>
      <c r="E265" s="7"/>
      <c r="F265" s="7">
        <f t="shared" si="24"/>
        <v>0</v>
      </c>
      <c r="G265" s="7"/>
      <c r="H265" s="7"/>
      <c r="I265" s="2" t="str">
        <f t="shared" si="25"/>
        <v/>
      </c>
      <c r="J265" s="1" t="str">
        <f t="shared" ca="1" si="26"/>
        <v/>
      </c>
      <c r="K265" s="3" t="str">
        <f t="shared" ca="1" si="27"/>
        <v/>
      </c>
      <c r="L265" s="1">
        <f t="shared" si="28"/>
        <v>0</v>
      </c>
      <c r="M265" s="1">
        <f t="shared" si="29"/>
        <v>0</v>
      </c>
    </row>
    <row r="266" spans="1:13" x14ac:dyDescent="0.25">
      <c r="A266" s="1"/>
      <c r="B266" s="2"/>
      <c r="C266" s="1"/>
      <c r="D266" s="1"/>
      <c r="E266" s="7"/>
      <c r="F266" s="7">
        <f t="shared" si="24"/>
        <v>0</v>
      </c>
      <c r="G266" s="7"/>
      <c r="H266" s="7"/>
      <c r="I266" s="2" t="str">
        <f t="shared" si="25"/>
        <v/>
      </c>
      <c r="J266" s="1" t="str">
        <f t="shared" ca="1" si="26"/>
        <v/>
      </c>
      <c r="K266" s="3" t="str">
        <f t="shared" ca="1" si="27"/>
        <v/>
      </c>
      <c r="L266" s="1">
        <f t="shared" si="28"/>
        <v>0</v>
      </c>
      <c r="M266" s="1">
        <f t="shared" si="29"/>
        <v>0</v>
      </c>
    </row>
    <row r="267" spans="1:13" x14ac:dyDescent="0.25">
      <c r="A267" s="1"/>
      <c r="B267" s="2"/>
      <c r="C267" s="1"/>
      <c r="D267" s="1"/>
      <c r="E267" s="7"/>
      <c r="F267" s="7">
        <f t="shared" si="24"/>
        <v>0</v>
      </c>
      <c r="G267" s="7"/>
      <c r="H267" s="7"/>
      <c r="I267" s="2" t="str">
        <f t="shared" si="25"/>
        <v/>
      </c>
      <c r="J267" s="1" t="str">
        <f t="shared" ca="1" si="26"/>
        <v/>
      </c>
      <c r="K267" s="3" t="str">
        <f t="shared" ca="1" si="27"/>
        <v/>
      </c>
      <c r="L267" s="1">
        <f t="shared" si="28"/>
        <v>0</v>
      </c>
      <c r="M267" s="1">
        <f t="shared" si="29"/>
        <v>0</v>
      </c>
    </row>
    <row r="268" spans="1:13" x14ac:dyDescent="0.25">
      <c r="A268" s="1"/>
      <c r="B268" s="2"/>
      <c r="C268" s="1"/>
      <c r="D268" s="1"/>
      <c r="E268" s="7"/>
      <c r="F268" s="7">
        <f t="shared" si="24"/>
        <v>0</v>
      </c>
      <c r="G268" s="7"/>
      <c r="H268" s="7"/>
      <c r="I268" s="2" t="str">
        <f t="shared" si="25"/>
        <v/>
      </c>
      <c r="J268" s="1" t="str">
        <f t="shared" ca="1" si="26"/>
        <v/>
      </c>
      <c r="K268" s="3" t="str">
        <f t="shared" ca="1" si="27"/>
        <v/>
      </c>
      <c r="L268" s="1">
        <f t="shared" si="28"/>
        <v>0</v>
      </c>
      <c r="M268" s="1">
        <f t="shared" si="29"/>
        <v>0</v>
      </c>
    </row>
    <row r="269" spans="1:13" x14ac:dyDescent="0.25">
      <c r="A269" s="1"/>
      <c r="B269" s="2"/>
      <c r="C269" s="1"/>
      <c r="D269" s="1"/>
      <c r="E269" s="7"/>
      <c r="F269" s="7">
        <f t="shared" si="24"/>
        <v>0</v>
      </c>
      <c r="G269" s="7"/>
      <c r="H269" s="7"/>
      <c r="I269" s="2" t="str">
        <f t="shared" si="25"/>
        <v/>
      </c>
      <c r="J269" s="1" t="str">
        <f t="shared" ca="1" si="26"/>
        <v/>
      </c>
      <c r="K269" s="3" t="str">
        <f t="shared" ca="1" si="27"/>
        <v/>
      </c>
      <c r="L269" s="1">
        <f t="shared" si="28"/>
        <v>0</v>
      </c>
      <c r="M269" s="1">
        <f t="shared" si="29"/>
        <v>0</v>
      </c>
    </row>
    <row r="270" spans="1:13" x14ac:dyDescent="0.25">
      <c r="A270" s="1"/>
      <c r="B270" s="2"/>
      <c r="C270" s="1"/>
      <c r="D270" s="1"/>
      <c r="E270" s="7"/>
      <c r="F270" s="7">
        <f t="shared" si="24"/>
        <v>0</v>
      </c>
      <c r="G270" s="7"/>
      <c r="H270" s="7"/>
      <c r="I270" s="2" t="str">
        <f t="shared" si="25"/>
        <v/>
      </c>
      <c r="J270" s="1" t="str">
        <f t="shared" ca="1" si="26"/>
        <v/>
      </c>
      <c r="K270" s="3" t="str">
        <f t="shared" ca="1" si="27"/>
        <v/>
      </c>
      <c r="L270" s="1">
        <f t="shared" si="28"/>
        <v>0</v>
      </c>
      <c r="M270" s="1">
        <f t="shared" si="29"/>
        <v>0</v>
      </c>
    </row>
    <row r="271" spans="1:13" x14ac:dyDescent="0.25">
      <c r="A271" s="1"/>
      <c r="B271" s="2"/>
      <c r="C271" s="1"/>
      <c r="D271" s="1"/>
      <c r="E271" s="7"/>
      <c r="F271" s="7">
        <f t="shared" si="24"/>
        <v>0</v>
      </c>
      <c r="G271" s="7"/>
      <c r="H271" s="7"/>
      <c r="I271" s="2" t="str">
        <f t="shared" si="25"/>
        <v/>
      </c>
      <c r="J271" s="1" t="str">
        <f t="shared" ca="1" si="26"/>
        <v/>
      </c>
      <c r="K271" s="3" t="str">
        <f t="shared" ca="1" si="27"/>
        <v/>
      </c>
      <c r="L271" s="1">
        <f t="shared" si="28"/>
        <v>0</v>
      </c>
      <c r="M271" s="1">
        <f t="shared" si="29"/>
        <v>0</v>
      </c>
    </row>
    <row r="272" spans="1:13" x14ac:dyDescent="0.25">
      <c r="A272" s="1"/>
      <c r="B272" s="2"/>
      <c r="C272" s="1"/>
      <c r="D272" s="1"/>
      <c r="E272" s="7"/>
      <c r="F272" s="7">
        <f t="shared" si="24"/>
        <v>0</v>
      </c>
      <c r="G272" s="7"/>
      <c r="H272" s="7"/>
      <c r="I272" s="2" t="str">
        <f t="shared" si="25"/>
        <v/>
      </c>
      <c r="J272" s="1" t="str">
        <f t="shared" ca="1" si="26"/>
        <v/>
      </c>
      <c r="K272" s="3" t="str">
        <f t="shared" ca="1" si="27"/>
        <v/>
      </c>
      <c r="L272" s="1">
        <f t="shared" si="28"/>
        <v>0</v>
      </c>
      <c r="M272" s="1">
        <f t="shared" si="29"/>
        <v>0</v>
      </c>
    </row>
    <row r="273" spans="1:13" x14ac:dyDescent="0.25">
      <c r="A273" s="1"/>
      <c r="B273" s="2"/>
      <c r="C273" s="1"/>
      <c r="D273" s="1"/>
      <c r="E273" s="7"/>
      <c r="F273" s="7">
        <f t="shared" si="24"/>
        <v>0</v>
      </c>
      <c r="G273" s="7"/>
      <c r="H273" s="7"/>
      <c r="I273" s="2" t="str">
        <f t="shared" si="25"/>
        <v/>
      </c>
      <c r="J273" s="1" t="str">
        <f t="shared" ca="1" si="26"/>
        <v/>
      </c>
      <c r="K273" s="3" t="str">
        <f t="shared" ca="1" si="27"/>
        <v/>
      </c>
      <c r="L273" s="1">
        <f t="shared" si="28"/>
        <v>0</v>
      </c>
      <c r="M273" s="1">
        <f t="shared" si="29"/>
        <v>0</v>
      </c>
    </row>
    <row r="274" spans="1:13" x14ac:dyDescent="0.25">
      <c r="A274" s="1"/>
      <c r="B274" s="2"/>
      <c r="C274" s="1"/>
      <c r="D274" s="1"/>
      <c r="E274" s="7"/>
      <c r="F274" s="7">
        <f t="shared" si="24"/>
        <v>0</v>
      </c>
      <c r="G274" s="7"/>
      <c r="H274" s="7"/>
      <c r="I274" s="2" t="str">
        <f t="shared" si="25"/>
        <v/>
      </c>
      <c r="J274" s="1" t="str">
        <f t="shared" ca="1" si="26"/>
        <v/>
      </c>
      <c r="K274" s="3" t="str">
        <f t="shared" ca="1" si="27"/>
        <v/>
      </c>
      <c r="L274" s="1">
        <f t="shared" si="28"/>
        <v>0</v>
      </c>
      <c r="M274" s="1">
        <f t="shared" si="29"/>
        <v>0</v>
      </c>
    </row>
    <row r="275" spans="1:13" x14ac:dyDescent="0.25">
      <c r="A275" s="1"/>
      <c r="B275" s="2"/>
      <c r="C275" s="1"/>
      <c r="D275" s="1"/>
      <c r="E275" s="7"/>
      <c r="F275" s="7">
        <f t="shared" si="24"/>
        <v>0</v>
      </c>
      <c r="G275" s="7"/>
      <c r="H275" s="7"/>
      <c r="I275" s="2" t="str">
        <f t="shared" si="25"/>
        <v/>
      </c>
      <c r="J275" s="1" t="str">
        <f t="shared" ca="1" si="26"/>
        <v/>
      </c>
      <c r="K275" s="3" t="str">
        <f t="shared" ca="1" si="27"/>
        <v/>
      </c>
      <c r="L275" s="1">
        <f t="shared" si="28"/>
        <v>0</v>
      </c>
      <c r="M275" s="1">
        <f t="shared" si="29"/>
        <v>0</v>
      </c>
    </row>
    <row r="276" spans="1:13" x14ac:dyDescent="0.25">
      <c r="A276" s="1"/>
      <c r="B276" s="2"/>
      <c r="C276" s="1"/>
      <c r="D276" s="1"/>
      <c r="E276" s="7"/>
      <c r="F276" s="7">
        <f t="shared" si="24"/>
        <v>0</v>
      </c>
      <c r="G276" s="7"/>
      <c r="H276" s="7"/>
      <c r="I276" s="2" t="str">
        <f t="shared" si="25"/>
        <v/>
      </c>
      <c r="J276" s="1" t="str">
        <f t="shared" ca="1" si="26"/>
        <v/>
      </c>
      <c r="K276" s="3" t="str">
        <f t="shared" ca="1" si="27"/>
        <v/>
      </c>
      <c r="L276" s="1">
        <f t="shared" si="28"/>
        <v>0</v>
      </c>
      <c r="M276" s="1">
        <f t="shared" si="29"/>
        <v>0</v>
      </c>
    </row>
    <row r="277" spans="1:13" x14ac:dyDescent="0.25">
      <c r="A277" s="1"/>
      <c r="B277" s="2"/>
      <c r="C277" s="1"/>
      <c r="D277" s="1"/>
      <c r="E277" s="7"/>
      <c r="F277" s="7">
        <f t="shared" si="24"/>
        <v>0</v>
      </c>
      <c r="G277" s="7"/>
      <c r="H277" s="7"/>
      <c r="I277" s="2" t="str">
        <f t="shared" si="25"/>
        <v/>
      </c>
      <c r="J277" s="1" t="str">
        <f t="shared" ca="1" si="26"/>
        <v/>
      </c>
      <c r="K277" s="3" t="str">
        <f t="shared" ca="1" si="27"/>
        <v/>
      </c>
      <c r="L277" s="1">
        <f t="shared" si="28"/>
        <v>0</v>
      </c>
      <c r="M277" s="1">
        <f t="shared" si="29"/>
        <v>0</v>
      </c>
    </row>
    <row r="278" spans="1:13" x14ac:dyDescent="0.25">
      <c r="A278" s="1"/>
      <c r="B278" s="2"/>
      <c r="C278" s="1"/>
      <c r="D278" s="1"/>
      <c r="E278" s="7"/>
      <c r="F278" s="7">
        <f t="shared" si="24"/>
        <v>0</v>
      </c>
      <c r="G278" s="7"/>
      <c r="H278" s="7"/>
      <c r="I278" s="2" t="str">
        <f t="shared" si="25"/>
        <v/>
      </c>
      <c r="J278" s="1" t="str">
        <f t="shared" ca="1" si="26"/>
        <v/>
      </c>
      <c r="K278" s="3" t="str">
        <f t="shared" ca="1" si="27"/>
        <v/>
      </c>
      <c r="L278" s="1">
        <f t="shared" si="28"/>
        <v>0</v>
      </c>
      <c r="M278" s="1">
        <f t="shared" si="29"/>
        <v>0</v>
      </c>
    </row>
    <row r="279" spans="1:13" x14ac:dyDescent="0.25">
      <c r="A279" s="1"/>
      <c r="B279" s="2"/>
      <c r="C279" s="1"/>
      <c r="D279" s="1"/>
      <c r="E279" s="7"/>
      <c r="F279" s="7">
        <f t="shared" si="24"/>
        <v>0</v>
      </c>
      <c r="G279" s="7"/>
      <c r="H279" s="7"/>
      <c r="I279" s="2" t="str">
        <f t="shared" si="25"/>
        <v/>
      </c>
      <c r="J279" s="1" t="str">
        <f t="shared" ca="1" si="26"/>
        <v/>
      </c>
      <c r="K279" s="3" t="str">
        <f t="shared" ca="1" si="27"/>
        <v/>
      </c>
      <c r="L279" s="1">
        <f t="shared" si="28"/>
        <v>0</v>
      </c>
      <c r="M279" s="1">
        <f t="shared" si="29"/>
        <v>0</v>
      </c>
    </row>
    <row r="280" spans="1:13" x14ac:dyDescent="0.25">
      <c r="A280" s="1"/>
      <c r="B280" s="2"/>
      <c r="C280" s="1"/>
      <c r="D280" s="1"/>
      <c r="E280" s="7"/>
      <c r="F280" s="7">
        <f t="shared" si="24"/>
        <v>0</v>
      </c>
      <c r="G280" s="7"/>
      <c r="H280" s="7"/>
      <c r="I280" s="2" t="str">
        <f t="shared" si="25"/>
        <v/>
      </c>
      <c r="J280" s="1" t="str">
        <f t="shared" ca="1" si="26"/>
        <v/>
      </c>
      <c r="K280" s="3" t="str">
        <f t="shared" ca="1" si="27"/>
        <v/>
      </c>
      <c r="L280" s="1">
        <f t="shared" si="28"/>
        <v>0</v>
      </c>
      <c r="M280" s="1">
        <f t="shared" si="29"/>
        <v>0</v>
      </c>
    </row>
    <row r="281" spans="1:13" x14ac:dyDescent="0.25">
      <c r="A281" s="1"/>
      <c r="B281" s="2"/>
      <c r="C281" s="1"/>
      <c r="D281" s="1"/>
      <c r="E281" s="7"/>
      <c r="F281" s="7">
        <f t="shared" si="24"/>
        <v>0</v>
      </c>
      <c r="G281" s="7"/>
      <c r="H281" s="7"/>
      <c r="I281" s="2" t="str">
        <f t="shared" si="25"/>
        <v/>
      </c>
      <c r="J281" s="1" t="str">
        <f t="shared" ca="1" si="26"/>
        <v/>
      </c>
      <c r="K281" s="3" t="str">
        <f t="shared" ca="1" si="27"/>
        <v/>
      </c>
      <c r="L281" s="1">
        <f t="shared" si="28"/>
        <v>0</v>
      </c>
      <c r="M281" s="1">
        <f t="shared" si="29"/>
        <v>0</v>
      </c>
    </row>
    <row r="282" spans="1:13" x14ac:dyDescent="0.25">
      <c r="A282" s="1"/>
      <c r="B282" s="2"/>
      <c r="C282" s="1"/>
      <c r="D282" s="1"/>
      <c r="E282" s="7"/>
      <c r="F282" s="7">
        <f t="shared" si="24"/>
        <v>0</v>
      </c>
      <c r="G282" s="7"/>
      <c r="H282" s="7"/>
      <c r="I282" s="2" t="str">
        <f t="shared" si="25"/>
        <v/>
      </c>
      <c r="J282" s="1" t="str">
        <f t="shared" ca="1" si="26"/>
        <v/>
      </c>
      <c r="K282" s="3" t="str">
        <f t="shared" ca="1" si="27"/>
        <v/>
      </c>
      <c r="L282" s="1">
        <f t="shared" si="28"/>
        <v>0</v>
      </c>
      <c r="M282" s="1">
        <f t="shared" si="29"/>
        <v>0</v>
      </c>
    </row>
    <row r="283" spans="1:13" x14ac:dyDescent="0.25">
      <c r="A283" s="1"/>
      <c r="B283" s="2"/>
      <c r="C283" s="1"/>
      <c r="D283" s="1"/>
      <c r="E283" s="7"/>
      <c r="F283" s="7">
        <f t="shared" si="24"/>
        <v>0</v>
      </c>
      <c r="G283" s="7"/>
      <c r="H283" s="7"/>
      <c r="I283" s="2" t="str">
        <f t="shared" si="25"/>
        <v/>
      </c>
      <c r="J283" s="1" t="str">
        <f t="shared" ca="1" si="26"/>
        <v/>
      </c>
      <c r="K283" s="3" t="str">
        <f t="shared" ca="1" si="27"/>
        <v/>
      </c>
      <c r="L283" s="1">
        <f t="shared" si="28"/>
        <v>0</v>
      </c>
      <c r="M283" s="1">
        <f t="shared" si="29"/>
        <v>0</v>
      </c>
    </row>
    <row r="284" spans="1:13" x14ac:dyDescent="0.25">
      <c r="A284" s="1"/>
      <c r="B284" s="2"/>
      <c r="C284" s="1"/>
      <c r="D284" s="1"/>
      <c r="E284" s="7"/>
      <c r="F284" s="7">
        <f t="shared" si="24"/>
        <v>0</v>
      </c>
      <c r="G284" s="7"/>
      <c r="H284" s="7"/>
      <c r="I284" s="2" t="str">
        <f t="shared" si="25"/>
        <v/>
      </c>
      <c r="J284" s="1" t="str">
        <f t="shared" ca="1" si="26"/>
        <v/>
      </c>
      <c r="K284" s="3" t="str">
        <f t="shared" ca="1" si="27"/>
        <v/>
      </c>
      <c r="L284" s="1">
        <f t="shared" si="28"/>
        <v>0</v>
      </c>
      <c r="M284" s="1">
        <f t="shared" si="29"/>
        <v>0</v>
      </c>
    </row>
    <row r="285" spans="1:13" x14ac:dyDescent="0.25">
      <c r="A285" s="1"/>
      <c r="B285" s="2"/>
      <c r="C285" s="1"/>
      <c r="D285" s="1"/>
      <c r="E285" s="7"/>
      <c r="F285" s="7">
        <f t="shared" si="24"/>
        <v>0</v>
      </c>
      <c r="G285" s="7"/>
      <c r="H285" s="7"/>
      <c r="I285" s="2" t="str">
        <f t="shared" si="25"/>
        <v/>
      </c>
      <c r="J285" s="1" t="str">
        <f t="shared" ca="1" si="26"/>
        <v/>
      </c>
      <c r="K285" s="3" t="str">
        <f t="shared" ca="1" si="27"/>
        <v/>
      </c>
      <c r="L285" s="1">
        <f t="shared" si="28"/>
        <v>0</v>
      </c>
      <c r="M285" s="1">
        <f t="shared" si="29"/>
        <v>0</v>
      </c>
    </row>
    <row r="286" spans="1:13" x14ac:dyDescent="0.25">
      <c r="A286" s="1"/>
      <c r="B286" s="2"/>
      <c r="C286" s="1"/>
      <c r="D286" s="1"/>
      <c r="E286" s="7"/>
      <c r="F286" s="7">
        <f t="shared" si="24"/>
        <v>0</v>
      </c>
      <c r="G286" s="7"/>
      <c r="H286" s="7"/>
      <c r="I286" s="2" t="str">
        <f t="shared" si="25"/>
        <v/>
      </c>
      <c r="J286" s="1" t="str">
        <f t="shared" ca="1" si="26"/>
        <v/>
      </c>
      <c r="K286" s="3" t="str">
        <f t="shared" ca="1" si="27"/>
        <v/>
      </c>
      <c r="L286" s="1">
        <f t="shared" si="28"/>
        <v>0</v>
      </c>
      <c r="M286" s="1">
        <f t="shared" si="29"/>
        <v>0</v>
      </c>
    </row>
    <row r="287" spans="1:13" x14ac:dyDescent="0.25">
      <c r="A287" s="1"/>
      <c r="B287" s="2"/>
      <c r="C287" s="1"/>
      <c r="D287" s="1"/>
      <c r="E287" s="7"/>
      <c r="F287" s="7">
        <f t="shared" si="24"/>
        <v>0</v>
      </c>
      <c r="G287" s="7"/>
      <c r="H287" s="7"/>
      <c r="I287" s="2" t="str">
        <f t="shared" si="25"/>
        <v/>
      </c>
      <c r="J287" s="1" t="str">
        <f t="shared" ca="1" si="26"/>
        <v/>
      </c>
      <c r="K287" s="3" t="str">
        <f t="shared" ca="1" si="27"/>
        <v/>
      </c>
      <c r="L287" s="1">
        <f t="shared" si="28"/>
        <v>0</v>
      </c>
      <c r="M287" s="1">
        <f t="shared" si="29"/>
        <v>0</v>
      </c>
    </row>
    <row r="288" spans="1:13" x14ac:dyDescent="0.25">
      <c r="A288" s="1"/>
      <c r="B288" s="2"/>
      <c r="C288" s="1"/>
      <c r="D288" s="1"/>
      <c r="E288" s="7"/>
      <c r="F288" s="7">
        <f t="shared" si="24"/>
        <v>0</v>
      </c>
      <c r="G288" s="7"/>
      <c r="H288" s="7"/>
      <c r="I288" s="2" t="str">
        <f t="shared" si="25"/>
        <v/>
      </c>
      <c r="J288" s="1" t="str">
        <f t="shared" ca="1" si="26"/>
        <v/>
      </c>
      <c r="K288" s="3" t="str">
        <f t="shared" ca="1" si="27"/>
        <v/>
      </c>
      <c r="L288" s="1">
        <f t="shared" si="28"/>
        <v>0</v>
      </c>
      <c r="M288" s="1">
        <f t="shared" si="29"/>
        <v>0</v>
      </c>
    </row>
    <row r="289" spans="1:13" x14ac:dyDescent="0.25">
      <c r="A289" s="1"/>
      <c r="B289" s="2"/>
      <c r="C289" s="1"/>
      <c r="D289" s="1"/>
      <c r="E289" s="7"/>
      <c r="F289" s="7">
        <f t="shared" si="24"/>
        <v>0</v>
      </c>
      <c r="G289" s="7"/>
      <c r="H289" s="7"/>
      <c r="I289" s="2" t="str">
        <f t="shared" si="25"/>
        <v/>
      </c>
      <c r="J289" s="1" t="str">
        <f t="shared" ca="1" si="26"/>
        <v/>
      </c>
      <c r="K289" s="3" t="str">
        <f t="shared" ca="1" si="27"/>
        <v/>
      </c>
      <c r="L289" s="1">
        <f t="shared" si="28"/>
        <v>0</v>
      </c>
      <c r="M289" s="1">
        <f t="shared" si="29"/>
        <v>0</v>
      </c>
    </row>
    <row r="290" spans="1:13" x14ac:dyDescent="0.25">
      <c r="A290" s="1"/>
      <c r="B290" s="2"/>
      <c r="C290" s="1"/>
      <c r="D290" s="1"/>
      <c r="E290" s="7"/>
      <c r="F290" s="7">
        <f t="shared" si="24"/>
        <v>0</v>
      </c>
      <c r="G290" s="7"/>
      <c r="H290" s="7"/>
      <c r="I290" s="2" t="str">
        <f t="shared" si="25"/>
        <v/>
      </c>
      <c r="J290" s="1" t="str">
        <f t="shared" ca="1" si="26"/>
        <v/>
      </c>
      <c r="K290" s="3" t="str">
        <f t="shared" ca="1" si="27"/>
        <v/>
      </c>
      <c r="L290" s="1">
        <f t="shared" si="28"/>
        <v>0</v>
      </c>
      <c r="M290" s="1">
        <f t="shared" si="29"/>
        <v>0</v>
      </c>
    </row>
    <row r="291" spans="1:13" x14ac:dyDescent="0.25">
      <c r="A291" s="1"/>
      <c r="B291" s="2"/>
      <c r="C291" s="1"/>
      <c r="D291" s="1"/>
      <c r="E291" s="7"/>
      <c r="F291" s="7">
        <f t="shared" si="24"/>
        <v>0</v>
      </c>
      <c r="G291" s="7"/>
      <c r="H291" s="7"/>
      <c r="I291" s="2" t="str">
        <f t="shared" si="25"/>
        <v/>
      </c>
      <c r="J291" s="1" t="str">
        <f t="shared" ca="1" si="26"/>
        <v/>
      </c>
      <c r="K291" s="3" t="str">
        <f ca="1">IF(J291="","",IF(J291&lt;0,"VENCIDO",IF(J291&lt;=1,"PRÓXIMO","VIGENTE")))</f>
        <v/>
      </c>
      <c r="L291" s="1">
        <f t="shared" si="28"/>
        <v>0</v>
      </c>
      <c r="M291" s="1">
        <f t="shared" si="29"/>
        <v>0</v>
      </c>
    </row>
    <row r="292" spans="1:13" x14ac:dyDescent="0.25">
      <c r="A292" s="1"/>
      <c r="B292" s="2"/>
      <c r="C292" s="1"/>
      <c r="D292" s="1"/>
      <c r="E292" s="7"/>
      <c r="F292" s="7">
        <f t="shared" ref="F292:F350" si="30">G292-H292</f>
        <v>0</v>
      </c>
      <c r="G292" s="7"/>
      <c r="H292" s="7"/>
      <c r="I292" s="2" t="str">
        <f t="shared" ref="I292:I350" si="31">IF(F292=0,"",IF(C292="CRED",B292+(INT((G292-F292)/E292)+1)*D292,B292+INT((G292-F292)/E292)*D292))</f>
        <v/>
      </c>
      <c r="J292" s="1" t="str">
        <f t="shared" ref="J292:J350" ca="1" si="32">IF(I292="","",I292-TODAY())</f>
        <v/>
      </c>
      <c r="K292" s="3" t="str">
        <f t="shared" ref="K292:K350" ca="1" si="33">IF(J292="","",IF(J292&lt;0,"VENCIDO",IF(J292&lt;=1,"PRÓXIMO","VIGENTE")))</f>
        <v/>
      </c>
      <c r="L292" s="1">
        <f t="shared" ref="L292:L350" si="34">IF(F292=G292,0,INT((G292-F292)/E292))</f>
        <v>0</v>
      </c>
      <c r="M292" s="1">
        <f t="shared" ref="M292:M350" si="35">IF(F292=0,0,INT(F292/E292)+(IF(MOD(F292,E292)&gt;0,1,0)))</f>
        <v>0</v>
      </c>
    </row>
    <row r="293" spans="1:13" x14ac:dyDescent="0.25">
      <c r="A293" s="1"/>
      <c r="B293" s="2"/>
      <c r="C293" s="1"/>
      <c r="D293" s="1"/>
      <c r="E293" s="7"/>
      <c r="F293" s="7">
        <f t="shared" si="30"/>
        <v>0</v>
      </c>
      <c r="G293" s="7"/>
      <c r="H293" s="7"/>
      <c r="I293" s="2" t="str">
        <f t="shared" si="31"/>
        <v/>
      </c>
      <c r="J293" s="1" t="str">
        <f t="shared" ca="1" si="32"/>
        <v/>
      </c>
      <c r="K293" s="3" t="str">
        <f t="shared" ca="1" si="33"/>
        <v/>
      </c>
      <c r="L293" s="1">
        <f t="shared" si="34"/>
        <v>0</v>
      </c>
      <c r="M293" s="1">
        <f t="shared" si="35"/>
        <v>0</v>
      </c>
    </row>
    <row r="294" spans="1:13" x14ac:dyDescent="0.25">
      <c r="A294" s="1"/>
      <c r="B294" s="2"/>
      <c r="C294" s="1"/>
      <c r="D294" s="1"/>
      <c r="E294" s="7"/>
      <c r="F294" s="7">
        <f t="shared" si="30"/>
        <v>0</v>
      </c>
      <c r="G294" s="7"/>
      <c r="H294" s="7"/>
      <c r="I294" s="2" t="str">
        <f t="shared" si="31"/>
        <v/>
      </c>
      <c r="J294" s="1" t="str">
        <f t="shared" ca="1" si="32"/>
        <v/>
      </c>
      <c r="K294" s="3" t="str">
        <f t="shared" ca="1" si="33"/>
        <v/>
      </c>
      <c r="L294" s="1">
        <f t="shared" si="34"/>
        <v>0</v>
      </c>
      <c r="M294" s="1">
        <f t="shared" si="35"/>
        <v>0</v>
      </c>
    </row>
    <row r="295" spans="1:13" x14ac:dyDescent="0.25">
      <c r="A295" s="1"/>
      <c r="B295" s="2"/>
      <c r="C295" s="1"/>
      <c r="D295" s="1"/>
      <c r="E295" s="7"/>
      <c r="F295" s="7">
        <f t="shared" si="30"/>
        <v>0</v>
      </c>
      <c r="G295" s="7"/>
      <c r="H295" s="7"/>
      <c r="I295" s="2" t="str">
        <f t="shared" si="31"/>
        <v/>
      </c>
      <c r="J295" s="1" t="str">
        <f t="shared" ca="1" si="32"/>
        <v/>
      </c>
      <c r="K295" s="3" t="str">
        <f t="shared" ca="1" si="33"/>
        <v/>
      </c>
      <c r="L295" s="1">
        <f t="shared" si="34"/>
        <v>0</v>
      </c>
      <c r="M295" s="1">
        <f t="shared" si="35"/>
        <v>0</v>
      </c>
    </row>
    <row r="296" spans="1:13" x14ac:dyDescent="0.25">
      <c r="A296" s="1"/>
      <c r="B296" s="2"/>
      <c r="C296" s="1"/>
      <c r="D296" s="1"/>
      <c r="E296" s="7"/>
      <c r="F296" s="7">
        <f t="shared" si="30"/>
        <v>0</v>
      </c>
      <c r="G296" s="7"/>
      <c r="H296" s="7"/>
      <c r="I296" s="2" t="str">
        <f t="shared" si="31"/>
        <v/>
      </c>
      <c r="J296" s="1" t="str">
        <f t="shared" ca="1" si="32"/>
        <v/>
      </c>
      <c r="K296" s="3" t="str">
        <f t="shared" ca="1" si="33"/>
        <v/>
      </c>
      <c r="L296" s="1">
        <f t="shared" si="34"/>
        <v>0</v>
      </c>
      <c r="M296" s="1">
        <f t="shared" si="35"/>
        <v>0</v>
      </c>
    </row>
    <row r="297" spans="1:13" x14ac:dyDescent="0.25">
      <c r="A297" s="1"/>
      <c r="B297" s="2"/>
      <c r="C297" s="1"/>
      <c r="D297" s="1"/>
      <c r="E297" s="7"/>
      <c r="F297" s="7">
        <f t="shared" si="30"/>
        <v>0</v>
      </c>
      <c r="G297" s="7"/>
      <c r="H297" s="7"/>
      <c r="I297" s="2" t="str">
        <f t="shared" si="31"/>
        <v/>
      </c>
      <c r="J297" s="1" t="str">
        <f t="shared" ca="1" si="32"/>
        <v/>
      </c>
      <c r="K297" s="3" t="str">
        <f t="shared" ca="1" si="33"/>
        <v/>
      </c>
      <c r="L297" s="1">
        <f t="shared" si="34"/>
        <v>0</v>
      </c>
      <c r="M297" s="1">
        <f t="shared" si="35"/>
        <v>0</v>
      </c>
    </row>
    <row r="298" spans="1:13" x14ac:dyDescent="0.25">
      <c r="A298" s="1"/>
      <c r="B298" s="2"/>
      <c r="C298" s="1"/>
      <c r="D298" s="1"/>
      <c r="E298" s="7"/>
      <c r="F298" s="7">
        <f t="shared" si="30"/>
        <v>0</v>
      </c>
      <c r="G298" s="7"/>
      <c r="H298" s="7"/>
      <c r="I298" s="2" t="str">
        <f t="shared" si="31"/>
        <v/>
      </c>
      <c r="J298" s="1" t="str">
        <f t="shared" ca="1" si="32"/>
        <v/>
      </c>
      <c r="K298" s="3" t="str">
        <f t="shared" ca="1" si="33"/>
        <v/>
      </c>
      <c r="L298" s="1">
        <f t="shared" si="34"/>
        <v>0</v>
      </c>
      <c r="M298" s="1">
        <f t="shared" si="35"/>
        <v>0</v>
      </c>
    </row>
    <row r="299" spans="1:13" x14ac:dyDescent="0.25">
      <c r="A299" s="1"/>
      <c r="B299" s="2"/>
      <c r="C299" s="1"/>
      <c r="D299" s="1"/>
      <c r="E299" s="7"/>
      <c r="F299" s="7">
        <f t="shared" si="30"/>
        <v>0</v>
      </c>
      <c r="G299" s="7"/>
      <c r="H299" s="7"/>
      <c r="I299" s="2" t="str">
        <f t="shared" si="31"/>
        <v/>
      </c>
      <c r="J299" s="1" t="str">
        <f t="shared" ca="1" si="32"/>
        <v/>
      </c>
      <c r="K299" s="3" t="str">
        <f t="shared" ca="1" si="33"/>
        <v/>
      </c>
      <c r="L299" s="1">
        <f t="shared" si="34"/>
        <v>0</v>
      </c>
      <c r="M299" s="1">
        <f t="shared" si="35"/>
        <v>0</v>
      </c>
    </row>
    <row r="300" spans="1:13" x14ac:dyDescent="0.25">
      <c r="A300" s="1"/>
      <c r="B300" s="2"/>
      <c r="C300" s="1"/>
      <c r="D300" s="1"/>
      <c r="E300" s="7"/>
      <c r="F300" s="7">
        <f t="shared" si="30"/>
        <v>0</v>
      </c>
      <c r="G300" s="7"/>
      <c r="H300" s="7"/>
      <c r="I300" s="2" t="str">
        <f t="shared" si="31"/>
        <v/>
      </c>
      <c r="J300" s="1" t="str">
        <f t="shared" ca="1" si="32"/>
        <v/>
      </c>
      <c r="K300" s="3" t="str">
        <f t="shared" ca="1" si="33"/>
        <v/>
      </c>
      <c r="L300" s="1">
        <f t="shared" si="34"/>
        <v>0</v>
      </c>
      <c r="M300" s="1">
        <f t="shared" si="35"/>
        <v>0</v>
      </c>
    </row>
    <row r="301" spans="1:13" x14ac:dyDescent="0.25">
      <c r="A301" s="1"/>
      <c r="B301" s="2"/>
      <c r="C301" s="1"/>
      <c r="D301" s="1"/>
      <c r="E301" s="7"/>
      <c r="F301" s="7">
        <f t="shared" si="30"/>
        <v>0</v>
      </c>
      <c r="G301" s="7"/>
      <c r="H301" s="7"/>
      <c r="I301" s="2" t="str">
        <f t="shared" si="31"/>
        <v/>
      </c>
      <c r="J301" s="1" t="str">
        <f t="shared" ca="1" si="32"/>
        <v/>
      </c>
      <c r="K301" s="3" t="str">
        <f t="shared" ca="1" si="33"/>
        <v/>
      </c>
      <c r="L301" s="1">
        <f t="shared" si="34"/>
        <v>0</v>
      </c>
      <c r="M301" s="1">
        <f t="shared" si="35"/>
        <v>0</v>
      </c>
    </row>
    <row r="302" spans="1:13" x14ac:dyDescent="0.25">
      <c r="A302" s="1"/>
      <c r="B302" s="2"/>
      <c r="C302" s="1"/>
      <c r="D302" s="1"/>
      <c r="E302" s="7"/>
      <c r="F302" s="7">
        <f t="shared" si="30"/>
        <v>0</v>
      </c>
      <c r="G302" s="7"/>
      <c r="H302" s="7"/>
      <c r="I302" s="2" t="str">
        <f t="shared" si="31"/>
        <v/>
      </c>
      <c r="J302" s="1" t="str">
        <f t="shared" ca="1" si="32"/>
        <v/>
      </c>
      <c r="K302" s="3" t="str">
        <f t="shared" ca="1" si="33"/>
        <v/>
      </c>
      <c r="L302" s="1">
        <f t="shared" si="34"/>
        <v>0</v>
      </c>
      <c r="M302" s="1">
        <f t="shared" si="35"/>
        <v>0</v>
      </c>
    </row>
    <row r="303" spans="1:13" x14ac:dyDescent="0.25">
      <c r="A303" s="1"/>
      <c r="B303" s="2"/>
      <c r="C303" s="1"/>
      <c r="D303" s="1"/>
      <c r="E303" s="7"/>
      <c r="F303" s="7">
        <f t="shared" si="30"/>
        <v>0</v>
      </c>
      <c r="G303" s="7"/>
      <c r="H303" s="7"/>
      <c r="I303" s="2" t="str">
        <f t="shared" si="31"/>
        <v/>
      </c>
      <c r="J303" s="1" t="str">
        <f t="shared" ca="1" si="32"/>
        <v/>
      </c>
      <c r="K303" s="3" t="str">
        <f t="shared" ca="1" si="33"/>
        <v/>
      </c>
      <c r="L303" s="1">
        <f t="shared" si="34"/>
        <v>0</v>
      </c>
      <c r="M303" s="1">
        <f t="shared" si="35"/>
        <v>0</v>
      </c>
    </row>
    <row r="304" spans="1:13" x14ac:dyDescent="0.25">
      <c r="A304" s="1"/>
      <c r="B304" s="2"/>
      <c r="C304" s="1"/>
      <c r="D304" s="1"/>
      <c r="E304" s="7"/>
      <c r="F304" s="7">
        <f t="shared" si="30"/>
        <v>0</v>
      </c>
      <c r="G304" s="7"/>
      <c r="H304" s="7"/>
      <c r="I304" s="2" t="str">
        <f t="shared" si="31"/>
        <v/>
      </c>
      <c r="J304" s="1" t="str">
        <f t="shared" ca="1" si="32"/>
        <v/>
      </c>
      <c r="K304" s="3" t="str">
        <f t="shared" ca="1" si="33"/>
        <v/>
      </c>
      <c r="L304" s="1">
        <f t="shared" si="34"/>
        <v>0</v>
      </c>
      <c r="M304" s="1">
        <f t="shared" si="35"/>
        <v>0</v>
      </c>
    </row>
    <row r="305" spans="1:13" x14ac:dyDescent="0.25">
      <c r="A305" s="1"/>
      <c r="B305" s="2"/>
      <c r="C305" s="1"/>
      <c r="D305" s="1"/>
      <c r="E305" s="7"/>
      <c r="F305" s="7">
        <f t="shared" si="30"/>
        <v>0</v>
      </c>
      <c r="G305" s="7"/>
      <c r="H305" s="7"/>
      <c r="I305" s="2" t="str">
        <f t="shared" si="31"/>
        <v/>
      </c>
      <c r="J305" s="1" t="str">
        <f t="shared" ca="1" si="32"/>
        <v/>
      </c>
      <c r="K305" s="3" t="str">
        <f t="shared" ca="1" si="33"/>
        <v/>
      </c>
      <c r="L305" s="1">
        <f t="shared" si="34"/>
        <v>0</v>
      </c>
      <c r="M305" s="1">
        <f t="shared" si="35"/>
        <v>0</v>
      </c>
    </row>
    <row r="306" spans="1:13" x14ac:dyDescent="0.25">
      <c r="A306" s="1"/>
      <c r="B306" s="2"/>
      <c r="C306" s="1"/>
      <c r="D306" s="1"/>
      <c r="E306" s="7"/>
      <c r="F306" s="7">
        <f t="shared" si="30"/>
        <v>0</v>
      </c>
      <c r="G306" s="7"/>
      <c r="H306" s="7"/>
      <c r="I306" s="2" t="str">
        <f t="shared" si="31"/>
        <v/>
      </c>
      <c r="J306" s="1" t="str">
        <f t="shared" ca="1" si="32"/>
        <v/>
      </c>
      <c r="K306" s="3" t="str">
        <f t="shared" ca="1" si="33"/>
        <v/>
      </c>
      <c r="L306" s="1">
        <f t="shared" si="34"/>
        <v>0</v>
      </c>
      <c r="M306" s="1">
        <f t="shared" si="35"/>
        <v>0</v>
      </c>
    </row>
    <row r="307" spans="1:13" x14ac:dyDescent="0.25">
      <c r="A307" s="1"/>
      <c r="B307" s="2"/>
      <c r="C307" s="1"/>
      <c r="D307" s="1"/>
      <c r="E307" s="7"/>
      <c r="F307" s="7">
        <f t="shared" si="30"/>
        <v>0</v>
      </c>
      <c r="G307" s="7"/>
      <c r="H307" s="7"/>
      <c r="I307" s="2" t="str">
        <f t="shared" si="31"/>
        <v/>
      </c>
      <c r="J307" s="1" t="str">
        <f t="shared" ca="1" si="32"/>
        <v/>
      </c>
      <c r="K307" s="3" t="str">
        <f t="shared" ca="1" si="33"/>
        <v/>
      </c>
      <c r="L307" s="1">
        <f t="shared" si="34"/>
        <v>0</v>
      </c>
      <c r="M307" s="1">
        <f t="shared" si="35"/>
        <v>0</v>
      </c>
    </row>
    <row r="308" spans="1:13" x14ac:dyDescent="0.25">
      <c r="A308" s="1"/>
      <c r="B308" s="2"/>
      <c r="C308" s="1"/>
      <c r="D308" s="1"/>
      <c r="E308" s="7"/>
      <c r="F308" s="7">
        <f t="shared" si="30"/>
        <v>0</v>
      </c>
      <c r="G308" s="7"/>
      <c r="H308" s="7"/>
      <c r="I308" s="2" t="str">
        <f t="shared" si="31"/>
        <v/>
      </c>
      <c r="J308" s="1" t="str">
        <f t="shared" ca="1" si="32"/>
        <v/>
      </c>
      <c r="K308" s="3" t="str">
        <f t="shared" ca="1" si="33"/>
        <v/>
      </c>
      <c r="L308" s="1">
        <f t="shared" si="34"/>
        <v>0</v>
      </c>
      <c r="M308" s="1">
        <f t="shared" si="35"/>
        <v>0</v>
      </c>
    </row>
    <row r="309" spans="1:13" x14ac:dyDescent="0.25">
      <c r="A309" s="1"/>
      <c r="B309" s="2"/>
      <c r="C309" s="1"/>
      <c r="D309" s="1"/>
      <c r="E309" s="7"/>
      <c r="F309" s="7">
        <f t="shared" si="30"/>
        <v>0</v>
      </c>
      <c r="G309" s="7"/>
      <c r="H309" s="7"/>
      <c r="I309" s="2" t="str">
        <f t="shared" si="31"/>
        <v/>
      </c>
      <c r="J309" s="1" t="str">
        <f t="shared" ca="1" si="32"/>
        <v/>
      </c>
      <c r="K309" s="3" t="str">
        <f t="shared" ca="1" si="33"/>
        <v/>
      </c>
      <c r="L309" s="1">
        <f t="shared" si="34"/>
        <v>0</v>
      </c>
      <c r="M309" s="1">
        <f t="shared" si="35"/>
        <v>0</v>
      </c>
    </row>
    <row r="310" spans="1:13" x14ac:dyDescent="0.25">
      <c r="A310" s="1"/>
      <c r="B310" s="2"/>
      <c r="C310" s="1"/>
      <c r="D310" s="1"/>
      <c r="E310" s="7"/>
      <c r="F310" s="7">
        <f t="shared" si="30"/>
        <v>0</v>
      </c>
      <c r="G310" s="7"/>
      <c r="H310" s="7"/>
      <c r="I310" s="2" t="str">
        <f t="shared" si="31"/>
        <v/>
      </c>
      <c r="J310" s="1" t="str">
        <f t="shared" ca="1" si="32"/>
        <v/>
      </c>
      <c r="K310" s="3" t="str">
        <f t="shared" ca="1" si="33"/>
        <v/>
      </c>
      <c r="L310" s="1">
        <f t="shared" si="34"/>
        <v>0</v>
      </c>
      <c r="M310" s="1">
        <f t="shared" si="35"/>
        <v>0</v>
      </c>
    </row>
    <row r="311" spans="1:13" x14ac:dyDescent="0.25">
      <c r="A311" s="1"/>
      <c r="B311" s="2"/>
      <c r="C311" s="1"/>
      <c r="D311" s="1"/>
      <c r="E311" s="7"/>
      <c r="F311" s="7">
        <f t="shared" si="30"/>
        <v>0</v>
      </c>
      <c r="G311" s="7"/>
      <c r="H311" s="7"/>
      <c r="I311" s="2" t="str">
        <f t="shared" si="31"/>
        <v/>
      </c>
      <c r="J311" s="1" t="str">
        <f t="shared" ca="1" si="32"/>
        <v/>
      </c>
      <c r="K311" s="3" t="str">
        <f t="shared" ca="1" si="33"/>
        <v/>
      </c>
      <c r="L311" s="1">
        <f t="shared" si="34"/>
        <v>0</v>
      </c>
      <c r="M311" s="1">
        <f t="shared" si="35"/>
        <v>0</v>
      </c>
    </row>
    <row r="312" spans="1:13" x14ac:dyDescent="0.25">
      <c r="A312" s="1"/>
      <c r="B312" s="2"/>
      <c r="C312" s="1"/>
      <c r="D312" s="1"/>
      <c r="E312" s="7"/>
      <c r="F312" s="7">
        <f t="shared" si="30"/>
        <v>0</v>
      </c>
      <c r="G312" s="7"/>
      <c r="H312" s="7"/>
      <c r="I312" s="2" t="str">
        <f t="shared" si="31"/>
        <v/>
      </c>
      <c r="J312" s="1" t="str">
        <f t="shared" ca="1" si="32"/>
        <v/>
      </c>
      <c r="K312" s="3" t="str">
        <f t="shared" ca="1" si="33"/>
        <v/>
      </c>
      <c r="L312" s="1">
        <f t="shared" si="34"/>
        <v>0</v>
      </c>
      <c r="M312" s="1">
        <f t="shared" si="35"/>
        <v>0</v>
      </c>
    </row>
    <row r="313" spans="1:13" x14ac:dyDescent="0.25">
      <c r="A313" s="1"/>
      <c r="B313" s="2"/>
      <c r="C313" s="1"/>
      <c r="D313" s="1"/>
      <c r="E313" s="7"/>
      <c r="F313" s="7">
        <f t="shared" si="30"/>
        <v>0</v>
      </c>
      <c r="G313" s="7"/>
      <c r="H313" s="7"/>
      <c r="I313" s="2" t="str">
        <f t="shared" si="31"/>
        <v/>
      </c>
      <c r="J313" s="1" t="str">
        <f t="shared" ca="1" si="32"/>
        <v/>
      </c>
      <c r="K313" s="3" t="str">
        <f t="shared" ca="1" si="33"/>
        <v/>
      </c>
      <c r="L313" s="1">
        <f t="shared" si="34"/>
        <v>0</v>
      </c>
      <c r="M313" s="1">
        <f t="shared" si="35"/>
        <v>0</v>
      </c>
    </row>
    <row r="314" spans="1:13" x14ac:dyDescent="0.25">
      <c r="A314" s="1"/>
      <c r="B314" s="2"/>
      <c r="C314" s="1"/>
      <c r="D314" s="1"/>
      <c r="E314" s="7"/>
      <c r="F314" s="7">
        <f t="shared" si="30"/>
        <v>0</v>
      </c>
      <c r="G314" s="7"/>
      <c r="H314" s="7"/>
      <c r="I314" s="2" t="str">
        <f t="shared" si="31"/>
        <v/>
      </c>
      <c r="J314" s="1" t="str">
        <f t="shared" ca="1" si="32"/>
        <v/>
      </c>
      <c r="K314" s="3" t="str">
        <f t="shared" ca="1" si="33"/>
        <v/>
      </c>
      <c r="L314" s="1">
        <f t="shared" si="34"/>
        <v>0</v>
      </c>
      <c r="M314" s="1">
        <f t="shared" si="35"/>
        <v>0</v>
      </c>
    </row>
    <row r="315" spans="1:13" x14ac:dyDescent="0.25">
      <c r="A315" s="1"/>
      <c r="B315" s="2"/>
      <c r="C315" s="1"/>
      <c r="D315" s="1"/>
      <c r="E315" s="7"/>
      <c r="F315" s="7">
        <f t="shared" si="30"/>
        <v>0</v>
      </c>
      <c r="G315" s="7"/>
      <c r="H315" s="7"/>
      <c r="I315" s="2" t="str">
        <f t="shared" si="31"/>
        <v/>
      </c>
      <c r="J315" s="1" t="str">
        <f t="shared" ca="1" si="32"/>
        <v/>
      </c>
      <c r="K315" s="3" t="str">
        <f t="shared" ca="1" si="33"/>
        <v/>
      </c>
      <c r="L315" s="1">
        <f t="shared" si="34"/>
        <v>0</v>
      </c>
      <c r="M315" s="1">
        <f t="shared" si="35"/>
        <v>0</v>
      </c>
    </row>
    <row r="316" spans="1:13" x14ac:dyDescent="0.25">
      <c r="A316" s="1"/>
      <c r="B316" s="2"/>
      <c r="C316" s="1"/>
      <c r="D316" s="1"/>
      <c r="E316" s="7"/>
      <c r="F316" s="7">
        <f t="shared" si="30"/>
        <v>0</v>
      </c>
      <c r="G316" s="7"/>
      <c r="H316" s="7"/>
      <c r="I316" s="2" t="str">
        <f t="shared" si="31"/>
        <v/>
      </c>
      <c r="J316" s="1" t="str">
        <f t="shared" ca="1" si="32"/>
        <v/>
      </c>
      <c r="K316" s="3" t="str">
        <f t="shared" ca="1" si="33"/>
        <v/>
      </c>
      <c r="L316" s="1">
        <f t="shared" si="34"/>
        <v>0</v>
      </c>
      <c r="M316" s="1">
        <f t="shared" si="35"/>
        <v>0</v>
      </c>
    </row>
    <row r="317" spans="1:13" x14ac:dyDescent="0.25">
      <c r="A317" s="1"/>
      <c r="B317" s="2"/>
      <c r="C317" s="1"/>
      <c r="D317" s="1"/>
      <c r="E317" s="7"/>
      <c r="F317" s="7">
        <f t="shared" si="30"/>
        <v>0</v>
      </c>
      <c r="G317" s="7"/>
      <c r="H317" s="7"/>
      <c r="I317" s="2" t="str">
        <f t="shared" si="31"/>
        <v/>
      </c>
      <c r="J317" s="1" t="str">
        <f t="shared" ca="1" si="32"/>
        <v/>
      </c>
      <c r="K317" s="3" t="str">
        <f t="shared" ca="1" si="33"/>
        <v/>
      </c>
      <c r="L317" s="1">
        <f t="shared" si="34"/>
        <v>0</v>
      </c>
      <c r="M317" s="1">
        <f t="shared" si="35"/>
        <v>0</v>
      </c>
    </row>
    <row r="318" spans="1:13" x14ac:dyDescent="0.25">
      <c r="A318" s="1"/>
      <c r="B318" s="2"/>
      <c r="C318" s="1"/>
      <c r="D318" s="1"/>
      <c r="E318" s="7"/>
      <c r="F318" s="7">
        <f t="shared" si="30"/>
        <v>0</v>
      </c>
      <c r="G318" s="7"/>
      <c r="H318" s="7"/>
      <c r="I318" s="2" t="str">
        <f t="shared" si="31"/>
        <v/>
      </c>
      <c r="J318" s="1" t="str">
        <f t="shared" ca="1" si="32"/>
        <v/>
      </c>
      <c r="K318" s="3" t="str">
        <f t="shared" ca="1" si="33"/>
        <v/>
      </c>
      <c r="L318" s="1">
        <f t="shared" si="34"/>
        <v>0</v>
      </c>
      <c r="M318" s="1">
        <f t="shared" si="35"/>
        <v>0</v>
      </c>
    </row>
    <row r="319" spans="1:13" x14ac:dyDescent="0.25">
      <c r="A319" s="1"/>
      <c r="B319" s="2"/>
      <c r="C319" s="1"/>
      <c r="D319" s="1"/>
      <c r="E319" s="7"/>
      <c r="F319" s="7">
        <f t="shared" si="30"/>
        <v>0</v>
      </c>
      <c r="G319" s="7"/>
      <c r="H319" s="7"/>
      <c r="I319" s="2" t="str">
        <f t="shared" si="31"/>
        <v/>
      </c>
      <c r="J319" s="1" t="str">
        <f t="shared" ca="1" si="32"/>
        <v/>
      </c>
      <c r="K319" s="3" t="str">
        <f t="shared" ca="1" si="33"/>
        <v/>
      </c>
      <c r="L319" s="1">
        <f t="shared" si="34"/>
        <v>0</v>
      </c>
      <c r="M319" s="1">
        <f t="shared" si="35"/>
        <v>0</v>
      </c>
    </row>
    <row r="320" spans="1:13" x14ac:dyDescent="0.25">
      <c r="A320" s="1"/>
      <c r="B320" s="2"/>
      <c r="C320" s="1"/>
      <c r="D320" s="1"/>
      <c r="E320" s="7"/>
      <c r="F320" s="7">
        <f t="shared" si="30"/>
        <v>0</v>
      </c>
      <c r="G320" s="7"/>
      <c r="H320" s="7"/>
      <c r="I320" s="2" t="str">
        <f t="shared" si="31"/>
        <v/>
      </c>
      <c r="J320" s="1" t="str">
        <f t="shared" ca="1" si="32"/>
        <v/>
      </c>
      <c r="K320" s="3" t="str">
        <f t="shared" ca="1" si="33"/>
        <v/>
      </c>
      <c r="L320" s="1">
        <f t="shared" si="34"/>
        <v>0</v>
      </c>
      <c r="M320" s="1">
        <f t="shared" si="35"/>
        <v>0</v>
      </c>
    </row>
    <row r="321" spans="1:13" x14ac:dyDescent="0.25">
      <c r="A321" s="1"/>
      <c r="B321" s="2"/>
      <c r="C321" s="1"/>
      <c r="D321" s="1"/>
      <c r="E321" s="7"/>
      <c r="F321" s="7">
        <f t="shared" si="30"/>
        <v>0</v>
      </c>
      <c r="G321" s="7"/>
      <c r="H321" s="7"/>
      <c r="I321" s="2" t="str">
        <f t="shared" si="31"/>
        <v/>
      </c>
      <c r="J321" s="1" t="str">
        <f t="shared" ca="1" si="32"/>
        <v/>
      </c>
      <c r="K321" s="3" t="str">
        <f t="shared" ca="1" si="33"/>
        <v/>
      </c>
      <c r="L321" s="1">
        <f t="shared" si="34"/>
        <v>0</v>
      </c>
      <c r="M321" s="1">
        <f t="shared" si="35"/>
        <v>0</v>
      </c>
    </row>
    <row r="322" spans="1:13" x14ac:dyDescent="0.25">
      <c r="A322" s="1"/>
      <c r="B322" s="2"/>
      <c r="C322" s="1"/>
      <c r="D322" s="1"/>
      <c r="E322" s="7"/>
      <c r="F322" s="7">
        <f t="shared" si="30"/>
        <v>0</v>
      </c>
      <c r="G322" s="7"/>
      <c r="H322" s="7"/>
      <c r="I322" s="2" t="str">
        <f t="shared" si="31"/>
        <v/>
      </c>
      <c r="J322" s="1" t="str">
        <f t="shared" ca="1" si="32"/>
        <v/>
      </c>
      <c r="K322" s="3" t="str">
        <f t="shared" ca="1" si="33"/>
        <v/>
      </c>
      <c r="L322" s="1">
        <f t="shared" si="34"/>
        <v>0</v>
      </c>
      <c r="M322" s="1">
        <f t="shared" si="35"/>
        <v>0</v>
      </c>
    </row>
    <row r="323" spans="1:13" x14ac:dyDescent="0.25">
      <c r="A323" s="1"/>
      <c r="B323" s="2"/>
      <c r="C323" s="1"/>
      <c r="D323" s="1"/>
      <c r="E323" s="7"/>
      <c r="F323" s="7">
        <f t="shared" si="30"/>
        <v>0</v>
      </c>
      <c r="G323" s="7"/>
      <c r="H323" s="7"/>
      <c r="I323" s="2" t="str">
        <f t="shared" si="31"/>
        <v/>
      </c>
      <c r="J323" s="1" t="str">
        <f t="shared" ca="1" si="32"/>
        <v/>
      </c>
      <c r="K323" s="3" t="str">
        <f t="shared" ca="1" si="33"/>
        <v/>
      </c>
      <c r="L323" s="1">
        <f t="shared" si="34"/>
        <v>0</v>
      </c>
      <c r="M323" s="1">
        <f t="shared" si="35"/>
        <v>0</v>
      </c>
    </row>
    <row r="324" spans="1:13" x14ac:dyDescent="0.25">
      <c r="A324" s="1"/>
      <c r="B324" s="2"/>
      <c r="C324" s="1"/>
      <c r="D324" s="1"/>
      <c r="E324" s="7"/>
      <c r="F324" s="7">
        <f t="shared" si="30"/>
        <v>0</v>
      </c>
      <c r="G324" s="7"/>
      <c r="H324" s="7"/>
      <c r="I324" s="2" t="str">
        <f t="shared" si="31"/>
        <v/>
      </c>
      <c r="J324" s="1" t="str">
        <f t="shared" ca="1" si="32"/>
        <v/>
      </c>
      <c r="K324" s="3" t="str">
        <f t="shared" ca="1" si="33"/>
        <v/>
      </c>
      <c r="L324" s="1">
        <f t="shared" si="34"/>
        <v>0</v>
      </c>
      <c r="M324" s="1">
        <f t="shared" si="35"/>
        <v>0</v>
      </c>
    </row>
    <row r="325" spans="1:13" x14ac:dyDescent="0.25">
      <c r="A325" s="1"/>
      <c r="B325" s="2"/>
      <c r="C325" s="1"/>
      <c r="D325" s="1"/>
      <c r="E325" s="7"/>
      <c r="F325" s="7">
        <f t="shared" si="30"/>
        <v>0</v>
      </c>
      <c r="G325" s="7"/>
      <c r="H325" s="7"/>
      <c r="I325" s="2" t="str">
        <f t="shared" si="31"/>
        <v/>
      </c>
      <c r="J325" s="1" t="str">
        <f t="shared" ca="1" si="32"/>
        <v/>
      </c>
      <c r="K325" s="3" t="str">
        <f t="shared" ca="1" si="33"/>
        <v/>
      </c>
      <c r="L325" s="1">
        <f t="shared" si="34"/>
        <v>0</v>
      </c>
      <c r="M325" s="1">
        <f t="shared" si="35"/>
        <v>0</v>
      </c>
    </row>
    <row r="326" spans="1:13" x14ac:dyDescent="0.25">
      <c r="A326" s="1"/>
      <c r="B326" s="2"/>
      <c r="C326" s="1"/>
      <c r="D326" s="1"/>
      <c r="E326" s="7"/>
      <c r="F326" s="7">
        <f t="shared" si="30"/>
        <v>0</v>
      </c>
      <c r="G326" s="7"/>
      <c r="H326" s="7"/>
      <c r="I326" s="2" t="str">
        <f t="shared" si="31"/>
        <v/>
      </c>
      <c r="J326" s="1" t="str">
        <f t="shared" ca="1" si="32"/>
        <v/>
      </c>
      <c r="K326" s="3" t="str">
        <f t="shared" ca="1" si="33"/>
        <v/>
      </c>
      <c r="L326" s="1">
        <f t="shared" si="34"/>
        <v>0</v>
      </c>
      <c r="M326" s="1">
        <f t="shared" si="35"/>
        <v>0</v>
      </c>
    </row>
    <row r="327" spans="1:13" x14ac:dyDescent="0.25">
      <c r="A327" s="1"/>
      <c r="B327" s="2"/>
      <c r="C327" s="1"/>
      <c r="D327" s="1"/>
      <c r="E327" s="7"/>
      <c r="F327" s="7">
        <f t="shared" si="30"/>
        <v>0</v>
      </c>
      <c r="G327" s="7"/>
      <c r="H327" s="7"/>
      <c r="I327" s="2" t="str">
        <f t="shared" si="31"/>
        <v/>
      </c>
      <c r="J327" s="1" t="str">
        <f t="shared" ca="1" si="32"/>
        <v/>
      </c>
      <c r="K327" s="3" t="str">
        <f t="shared" ca="1" si="33"/>
        <v/>
      </c>
      <c r="L327" s="1">
        <f t="shared" si="34"/>
        <v>0</v>
      </c>
      <c r="M327" s="1">
        <f t="shared" si="35"/>
        <v>0</v>
      </c>
    </row>
    <row r="328" spans="1:13" x14ac:dyDescent="0.25">
      <c r="A328" s="1"/>
      <c r="B328" s="2"/>
      <c r="C328" s="1"/>
      <c r="D328" s="1"/>
      <c r="E328" s="7"/>
      <c r="F328" s="7">
        <f t="shared" si="30"/>
        <v>0</v>
      </c>
      <c r="G328" s="7"/>
      <c r="H328" s="7"/>
      <c r="I328" s="2" t="str">
        <f t="shared" si="31"/>
        <v/>
      </c>
      <c r="J328" s="1" t="str">
        <f t="shared" ca="1" si="32"/>
        <v/>
      </c>
      <c r="K328" s="3" t="str">
        <f t="shared" ca="1" si="33"/>
        <v/>
      </c>
      <c r="L328" s="1">
        <f t="shared" si="34"/>
        <v>0</v>
      </c>
      <c r="M328" s="1">
        <f t="shared" si="35"/>
        <v>0</v>
      </c>
    </row>
    <row r="329" spans="1:13" x14ac:dyDescent="0.25">
      <c r="A329" s="1"/>
      <c r="B329" s="2"/>
      <c r="C329" s="1"/>
      <c r="D329" s="1"/>
      <c r="E329" s="7"/>
      <c r="F329" s="7">
        <f t="shared" si="30"/>
        <v>0</v>
      </c>
      <c r="G329" s="7"/>
      <c r="H329" s="7"/>
      <c r="I329" s="2" t="str">
        <f t="shared" si="31"/>
        <v/>
      </c>
      <c r="J329" s="1" t="str">
        <f t="shared" ca="1" si="32"/>
        <v/>
      </c>
      <c r="K329" s="3" t="str">
        <f t="shared" ca="1" si="33"/>
        <v/>
      </c>
      <c r="L329" s="1">
        <f t="shared" si="34"/>
        <v>0</v>
      </c>
      <c r="M329" s="1">
        <f t="shared" si="35"/>
        <v>0</v>
      </c>
    </row>
    <row r="330" spans="1:13" x14ac:dyDescent="0.25">
      <c r="A330" s="1"/>
      <c r="B330" s="2"/>
      <c r="C330" s="1"/>
      <c r="D330" s="1"/>
      <c r="E330" s="7"/>
      <c r="F330" s="7">
        <f t="shared" si="30"/>
        <v>0</v>
      </c>
      <c r="G330" s="7"/>
      <c r="H330" s="7"/>
      <c r="I330" s="2" t="str">
        <f t="shared" si="31"/>
        <v/>
      </c>
      <c r="J330" s="1" t="str">
        <f t="shared" ca="1" si="32"/>
        <v/>
      </c>
      <c r="K330" s="3" t="str">
        <f t="shared" ca="1" si="33"/>
        <v/>
      </c>
      <c r="L330" s="1">
        <f t="shared" si="34"/>
        <v>0</v>
      </c>
      <c r="M330" s="1">
        <f t="shared" si="35"/>
        <v>0</v>
      </c>
    </row>
    <row r="331" spans="1:13" x14ac:dyDescent="0.25">
      <c r="A331" s="1"/>
      <c r="B331" s="2"/>
      <c r="C331" s="1"/>
      <c r="D331" s="1"/>
      <c r="E331" s="7"/>
      <c r="F331" s="7">
        <f t="shared" si="30"/>
        <v>0</v>
      </c>
      <c r="G331" s="7"/>
      <c r="H331" s="7"/>
      <c r="I331" s="2" t="str">
        <f t="shared" si="31"/>
        <v/>
      </c>
      <c r="J331" s="1" t="str">
        <f t="shared" ca="1" si="32"/>
        <v/>
      </c>
      <c r="K331" s="3" t="str">
        <f t="shared" ca="1" si="33"/>
        <v/>
      </c>
      <c r="L331" s="1">
        <f t="shared" si="34"/>
        <v>0</v>
      </c>
      <c r="M331" s="1">
        <f t="shared" si="35"/>
        <v>0</v>
      </c>
    </row>
    <row r="332" spans="1:13" x14ac:dyDescent="0.25">
      <c r="A332" s="1"/>
      <c r="B332" s="2"/>
      <c r="C332" s="1"/>
      <c r="D332" s="1"/>
      <c r="E332" s="7"/>
      <c r="F332" s="7">
        <f t="shared" si="30"/>
        <v>0</v>
      </c>
      <c r="G332" s="7"/>
      <c r="H332" s="7"/>
      <c r="I332" s="2" t="str">
        <f t="shared" si="31"/>
        <v/>
      </c>
      <c r="J332" s="1" t="str">
        <f t="shared" ca="1" si="32"/>
        <v/>
      </c>
      <c r="K332" s="3" t="str">
        <f t="shared" ca="1" si="33"/>
        <v/>
      </c>
      <c r="L332" s="1">
        <f t="shared" si="34"/>
        <v>0</v>
      </c>
      <c r="M332" s="1">
        <f t="shared" si="35"/>
        <v>0</v>
      </c>
    </row>
    <row r="333" spans="1:13" x14ac:dyDescent="0.25">
      <c r="A333" s="1"/>
      <c r="B333" s="2"/>
      <c r="C333" s="1"/>
      <c r="D333" s="1"/>
      <c r="E333" s="7"/>
      <c r="F333" s="7">
        <f t="shared" si="30"/>
        <v>0</v>
      </c>
      <c r="G333" s="7"/>
      <c r="H333" s="7"/>
      <c r="I333" s="2" t="str">
        <f t="shared" si="31"/>
        <v/>
      </c>
      <c r="J333" s="1" t="str">
        <f t="shared" ca="1" si="32"/>
        <v/>
      </c>
      <c r="K333" s="3" t="str">
        <f t="shared" ca="1" si="33"/>
        <v/>
      </c>
      <c r="L333" s="1">
        <f t="shared" si="34"/>
        <v>0</v>
      </c>
      <c r="M333" s="1">
        <f t="shared" si="35"/>
        <v>0</v>
      </c>
    </row>
    <row r="334" spans="1:13" x14ac:dyDescent="0.25">
      <c r="A334" s="1"/>
      <c r="B334" s="2"/>
      <c r="C334" s="1"/>
      <c r="D334" s="1"/>
      <c r="E334" s="7"/>
      <c r="F334" s="7">
        <f t="shared" si="30"/>
        <v>0</v>
      </c>
      <c r="G334" s="7"/>
      <c r="H334" s="7"/>
      <c r="I334" s="2" t="str">
        <f t="shared" si="31"/>
        <v/>
      </c>
      <c r="J334" s="1" t="str">
        <f t="shared" ca="1" si="32"/>
        <v/>
      </c>
      <c r="K334" s="3" t="str">
        <f t="shared" ca="1" si="33"/>
        <v/>
      </c>
      <c r="L334" s="1">
        <f t="shared" si="34"/>
        <v>0</v>
      </c>
      <c r="M334" s="1">
        <f t="shared" si="35"/>
        <v>0</v>
      </c>
    </row>
    <row r="335" spans="1:13" x14ac:dyDescent="0.25">
      <c r="A335" s="1"/>
      <c r="B335" s="2"/>
      <c r="C335" s="1"/>
      <c r="D335" s="1"/>
      <c r="E335" s="7"/>
      <c r="F335" s="7">
        <f t="shared" si="30"/>
        <v>0</v>
      </c>
      <c r="G335" s="7"/>
      <c r="H335" s="7"/>
      <c r="I335" s="2" t="str">
        <f t="shared" si="31"/>
        <v/>
      </c>
      <c r="J335" s="1" t="str">
        <f t="shared" ca="1" si="32"/>
        <v/>
      </c>
      <c r="K335" s="3" t="str">
        <f t="shared" ca="1" si="33"/>
        <v/>
      </c>
      <c r="L335" s="1">
        <f t="shared" si="34"/>
        <v>0</v>
      </c>
      <c r="M335" s="1">
        <f t="shared" si="35"/>
        <v>0</v>
      </c>
    </row>
    <row r="336" spans="1:13" x14ac:dyDescent="0.25">
      <c r="A336" s="1"/>
      <c r="B336" s="2"/>
      <c r="C336" s="1"/>
      <c r="D336" s="1"/>
      <c r="E336" s="7"/>
      <c r="F336" s="7">
        <f t="shared" si="30"/>
        <v>0</v>
      </c>
      <c r="G336" s="7"/>
      <c r="H336" s="7"/>
      <c r="I336" s="2" t="str">
        <f t="shared" si="31"/>
        <v/>
      </c>
      <c r="J336" s="1" t="str">
        <f t="shared" ca="1" si="32"/>
        <v/>
      </c>
      <c r="K336" s="3" t="str">
        <f t="shared" ca="1" si="33"/>
        <v/>
      </c>
      <c r="L336" s="1">
        <f t="shared" si="34"/>
        <v>0</v>
      </c>
      <c r="M336" s="1">
        <f t="shared" si="35"/>
        <v>0</v>
      </c>
    </row>
    <row r="337" spans="1:13" x14ac:dyDescent="0.25">
      <c r="A337" s="1"/>
      <c r="B337" s="2"/>
      <c r="C337" s="1"/>
      <c r="D337" s="1"/>
      <c r="E337" s="7"/>
      <c r="F337" s="7">
        <f t="shared" si="30"/>
        <v>0</v>
      </c>
      <c r="G337" s="7"/>
      <c r="H337" s="7"/>
      <c r="I337" s="2" t="str">
        <f t="shared" si="31"/>
        <v/>
      </c>
      <c r="J337" s="1" t="str">
        <f t="shared" ca="1" si="32"/>
        <v/>
      </c>
      <c r="K337" s="3" t="str">
        <f t="shared" ca="1" si="33"/>
        <v/>
      </c>
      <c r="L337" s="1">
        <f t="shared" si="34"/>
        <v>0</v>
      </c>
      <c r="M337" s="1">
        <f t="shared" si="35"/>
        <v>0</v>
      </c>
    </row>
    <row r="338" spans="1:13" x14ac:dyDescent="0.25">
      <c r="A338" s="1"/>
      <c r="B338" s="2"/>
      <c r="C338" s="1"/>
      <c r="D338" s="1"/>
      <c r="E338" s="7"/>
      <c r="F338" s="7">
        <f t="shared" si="30"/>
        <v>0</v>
      </c>
      <c r="G338" s="7"/>
      <c r="H338" s="7"/>
      <c r="I338" s="2" t="str">
        <f t="shared" si="31"/>
        <v/>
      </c>
      <c r="J338" s="1" t="str">
        <f t="shared" ca="1" si="32"/>
        <v/>
      </c>
      <c r="K338" s="3" t="str">
        <f t="shared" ca="1" si="33"/>
        <v/>
      </c>
      <c r="L338" s="1">
        <f t="shared" si="34"/>
        <v>0</v>
      </c>
      <c r="M338" s="1">
        <f t="shared" si="35"/>
        <v>0</v>
      </c>
    </row>
    <row r="339" spans="1:13" x14ac:dyDescent="0.25">
      <c r="A339" s="1"/>
      <c r="B339" s="2"/>
      <c r="C339" s="1"/>
      <c r="D339" s="1"/>
      <c r="E339" s="7"/>
      <c r="F339" s="7">
        <f t="shared" si="30"/>
        <v>0</v>
      </c>
      <c r="G339" s="7"/>
      <c r="H339" s="7"/>
      <c r="I339" s="2" t="str">
        <f t="shared" si="31"/>
        <v/>
      </c>
      <c r="J339" s="1" t="str">
        <f t="shared" ca="1" si="32"/>
        <v/>
      </c>
      <c r="K339" s="3" t="str">
        <f t="shared" ca="1" si="33"/>
        <v/>
      </c>
      <c r="L339" s="1">
        <f t="shared" si="34"/>
        <v>0</v>
      </c>
      <c r="M339" s="1">
        <f t="shared" si="35"/>
        <v>0</v>
      </c>
    </row>
    <row r="340" spans="1:13" x14ac:dyDescent="0.25">
      <c r="A340" s="1"/>
      <c r="B340" s="2"/>
      <c r="C340" s="1"/>
      <c r="D340" s="1"/>
      <c r="E340" s="7"/>
      <c r="F340" s="7">
        <f t="shared" si="30"/>
        <v>0</v>
      </c>
      <c r="G340" s="7"/>
      <c r="H340" s="7"/>
      <c r="I340" s="2" t="str">
        <f t="shared" si="31"/>
        <v/>
      </c>
      <c r="J340" s="1" t="str">
        <f t="shared" ca="1" si="32"/>
        <v/>
      </c>
      <c r="K340" s="3" t="str">
        <f t="shared" ca="1" si="33"/>
        <v/>
      </c>
      <c r="L340" s="1">
        <f t="shared" si="34"/>
        <v>0</v>
      </c>
      <c r="M340" s="1">
        <f t="shared" si="35"/>
        <v>0</v>
      </c>
    </row>
    <row r="341" spans="1:13" x14ac:dyDescent="0.25">
      <c r="A341" s="1"/>
      <c r="B341" s="2"/>
      <c r="C341" s="1"/>
      <c r="D341" s="1"/>
      <c r="E341" s="7"/>
      <c r="F341" s="7">
        <f t="shared" si="30"/>
        <v>0</v>
      </c>
      <c r="G341" s="7"/>
      <c r="H341" s="7"/>
      <c r="I341" s="2" t="str">
        <f t="shared" si="31"/>
        <v/>
      </c>
      <c r="J341" s="1" t="str">
        <f t="shared" ca="1" si="32"/>
        <v/>
      </c>
      <c r="K341" s="3" t="str">
        <f t="shared" ca="1" si="33"/>
        <v/>
      </c>
      <c r="L341" s="1">
        <f t="shared" si="34"/>
        <v>0</v>
      </c>
      <c r="M341" s="1">
        <f t="shared" si="35"/>
        <v>0</v>
      </c>
    </row>
    <row r="342" spans="1:13" x14ac:dyDescent="0.25">
      <c r="A342" s="1"/>
      <c r="B342" s="2"/>
      <c r="C342" s="1"/>
      <c r="D342" s="1"/>
      <c r="E342" s="7"/>
      <c r="F342" s="7">
        <f t="shared" si="30"/>
        <v>0</v>
      </c>
      <c r="G342" s="7"/>
      <c r="H342" s="7"/>
      <c r="I342" s="2" t="str">
        <f t="shared" si="31"/>
        <v/>
      </c>
      <c r="J342" s="1" t="str">
        <f t="shared" ca="1" si="32"/>
        <v/>
      </c>
      <c r="K342" s="3" t="str">
        <f t="shared" ca="1" si="33"/>
        <v/>
      </c>
      <c r="L342" s="1">
        <f t="shared" si="34"/>
        <v>0</v>
      </c>
      <c r="M342" s="1">
        <f t="shared" si="35"/>
        <v>0</v>
      </c>
    </row>
    <row r="343" spans="1:13" x14ac:dyDescent="0.25">
      <c r="A343" s="1"/>
      <c r="B343" s="2"/>
      <c r="C343" s="1"/>
      <c r="D343" s="1"/>
      <c r="E343" s="7"/>
      <c r="F343" s="7">
        <f t="shared" si="30"/>
        <v>0</v>
      </c>
      <c r="G343" s="7"/>
      <c r="H343" s="7"/>
      <c r="I343" s="2" t="str">
        <f t="shared" si="31"/>
        <v/>
      </c>
      <c r="J343" s="1" t="str">
        <f t="shared" ca="1" si="32"/>
        <v/>
      </c>
      <c r="K343" s="3" t="str">
        <f t="shared" ca="1" si="33"/>
        <v/>
      </c>
      <c r="L343" s="1">
        <f t="shared" si="34"/>
        <v>0</v>
      </c>
      <c r="M343" s="1">
        <f t="shared" si="35"/>
        <v>0</v>
      </c>
    </row>
    <row r="344" spans="1:13" x14ac:dyDescent="0.25">
      <c r="A344" s="1"/>
      <c r="B344" s="2"/>
      <c r="C344" s="1"/>
      <c r="D344" s="1"/>
      <c r="E344" s="7"/>
      <c r="F344" s="7">
        <f t="shared" si="30"/>
        <v>0</v>
      </c>
      <c r="G344" s="7"/>
      <c r="H344" s="7"/>
      <c r="I344" s="2" t="str">
        <f t="shared" si="31"/>
        <v/>
      </c>
      <c r="J344" s="1" t="str">
        <f t="shared" ca="1" si="32"/>
        <v/>
      </c>
      <c r="K344" s="3" t="str">
        <f t="shared" ca="1" si="33"/>
        <v/>
      </c>
      <c r="L344" s="1">
        <f t="shared" si="34"/>
        <v>0</v>
      </c>
      <c r="M344" s="1">
        <f t="shared" si="35"/>
        <v>0</v>
      </c>
    </row>
    <row r="345" spans="1:13" x14ac:dyDescent="0.25">
      <c r="A345" s="1"/>
      <c r="B345" s="2"/>
      <c r="C345" s="1"/>
      <c r="D345" s="1"/>
      <c r="E345" s="7"/>
      <c r="F345" s="7">
        <f t="shared" si="30"/>
        <v>0</v>
      </c>
      <c r="G345" s="7"/>
      <c r="H345" s="7"/>
      <c r="I345" s="2" t="str">
        <f t="shared" si="31"/>
        <v/>
      </c>
      <c r="J345" s="1" t="str">
        <f t="shared" ca="1" si="32"/>
        <v/>
      </c>
      <c r="K345" s="3" t="str">
        <f t="shared" ca="1" si="33"/>
        <v/>
      </c>
      <c r="L345" s="1">
        <f t="shared" si="34"/>
        <v>0</v>
      </c>
      <c r="M345" s="1">
        <f t="shared" si="35"/>
        <v>0</v>
      </c>
    </row>
    <row r="346" spans="1:13" x14ac:dyDescent="0.25">
      <c r="A346" s="1"/>
      <c r="B346" s="2"/>
      <c r="C346" s="1"/>
      <c r="D346" s="1"/>
      <c r="E346" s="7"/>
      <c r="F346" s="7">
        <f t="shared" si="30"/>
        <v>0</v>
      </c>
      <c r="G346" s="7"/>
      <c r="H346" s="7"/>
      <c r="I346" s="2" t="str">
        <f t="shared" si="31"/>
        <v/>
      </c>
      <c r="J346" s="1" t="str">
        <f t="shared" ca="1" si="32"/>
        <v/>
      </c>
      <c r="K346" s="3" t="str">
        <f t="shared" ca="1" si="33"/>
        <v/>
      </c>
      <c r="L346" s="1">
        <f t="shared" si="34"/>
        <v>0</v>
      </c>
      <c r="M346" s="1">
        <f t="shared" si="35"/>
        <v>0</v>
      </c>
    </row>
    <row r="347" spans="1:13" x14ac:dyDescent="0.25">
      <c r="A347" s="1"/>
      <c r="B347" s="2"/>
      <c r="C347" s="1"/>
      <c r="D347" s="1"/>
      <c r="E347" s="7"/>
      <c r="F347" s="7">
        <f t="shared" si="30"/>
        <v>0</v>
      </c>
      <c r="G347" s="7"/>
      <c r="H347" s="7"/>
      <c r="I347" s="2" t="str">
        <f t="shared" si="31"/>
        <v/>
      </c>
      <c r="J347" s="1" t="str">
        <f t="shared" ca="1" si="32"/>
        <v/>
      </c>
      <c r="K347" s="3" t="str">
        <f t="shared" ca="1" si="33"/>
        <v/>
      </c>
      <c r="L347" s="1">
        <f t="shared" si="34"/>
        <v>0</v>
      </c>
      <c r="M347" s="1">
        <f t="shared" si="35"/>
        <v>0</v>
      </c>
    </row>
    <row r="348" spans="1:13" x14ac:dyDescent="0.25">
      <c r="A348" s="1"/>
      <c r="B348" s="2"/>
      <c r="C348" s="1"/>
      <c r="D348" s="1"/>
      <c r="E348" s="7"/>
      <c r="F348" s="7">
        <f t="shared" si="30"/>
        <v>0</v>
      </c>
      <c r="G348" s="7"/>
      <c r="H348" s="7"/>
      <c r="I348" s="2" t="str">
        <f t="shared" si="31"/>
        <v/>
      </c>
      <c r="J348" s="1" t="str">
        <f t="shared" ca="1" si="32"/>
        <v/>
      </c>
      <c r="K348" s="3" t="str">
        <f t="shared" ca="1" si="33"/>
        <v/>
      </c>
      <c r="L348" s="1">
        <f t="shared" si="34"/>
        <v>0</v>
      </c>
      <c r="M348" s="1">
        <f t="shared" si="35"/>
        <v>0</v>
      </c>
    </row>
    <row r="349" spans="1:13" x14ac:dyDescent="0.25">
      <c r="A349" s="1"/>
      <c r="B349" s="2"/>
      <c r="C349" s="1"/>
      <c r="D349" s="1"/>
      <c r="E349" s="7"/>
      <c r="F349" s="7">
        <f t="shared" si="30"/>
        <v>0</v>
      </c>
      <c r="G349" s="7"/>
      <c r="H349" s="7"/>
      <c r="I349" s="2" t="str">
        <f t="shared" si="31"/>
        <v/>
      </c>
      <c r="J349" s="1" t="str">
        <f t="shared" ca="1" si="32"/>
        <v/>
      </c>
      <c r="K349" s="3" t="str">
        <f t="shared" ca="1" si="33"/>
        <v/>
      </c>
      <c r="L349" s="1">
        <f t="shared" si="34"/>
        <v>0</v>
      </c>
      <c r="M349" s="1">
        <f t="shared" si="35"/>
        <v>0</v>
      </c>
    </row>
    <row r="350" spans="1:13" x14ac:dyDescent="0.25">
      <c r="A350" s="1"/>
      <c r="B350" s="2"/>
      <c r="C350" s="1"/>
      <c r="D350" s="1"/>
      <c r="E350" s="7"/>
      <c r="F350" s="7">
        <f t="shared" si="30"/>
        <v>0</v>
      </c>
      <c r="G350" s="7"/>
      <c r="H350" s="7"/>
      <c r="I350" s="2" t="str">
        <f t="shared" si="31"/>
        <v/>
      </c>
      <c r="J350" s="1" t="str">
        <f t="shared" ca="1" si="32"/>
        <v/>
      </c>
      <c r="K350" s="3" t="str">
        <f t="shared" ca="1" si="33"/>
        <v/>
      </c>
      <c r="L350" s="1">
        <f t="shared" si="34"/>
        <v>0</v>
      </c>
      <c r="M350" s="1">
        <f t="shared" si="35"/>
        <v>0</v>
      </c>
    </row>
  </sheetData>
  <conditionalFormatting sqref="K2:K350">
    <cfRule type="expression" dxfId="5" priority="1">
      <formula>$K2="VIGENTE"</formula>
    </cfRule>
    <cfRule type="expression" dxfId="4" priority="2">
      <formula>$K2="PRÓXIMO"</formula>
    </cfRule>
    <cfRule type="expression" dxfId="3" priority="3">
      <formula>$K2="VENCIDO"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269"/>
  <sheetViews>
    <sheetView tabSelected="1" topLeftCell="A182" zoomScale="80" zoomScaleNormal="80" workbookViewId="0">
      <selection activeCell="I197" sqref="I197"/>
    </sheetView>
  </sheetViews>
  <sheetFormatPr baseColWidth="10" defaultColWidth="8.5703125" defaultRowHeight="15" x14ac:dyDescent="0.25"/>
  <cols>
    <col min="1" max="1" width="27.85546875" customWidth="1"/>
    <col min="2" max="2" width="11.85546875" customWidth="1"/>
    <col min="3" max="3" width="6.42578125" customWidth="1"/>
    <col min="4" max="4" width="4" customWidth="1"/>
    <col min="5" max="5" width="14.42578125" customWidth="1"/>
    <col min="6" max="6" width="15.7109375" style="19" customWidth="1"/>
    <col min="7" max="7" width="16.7109375" customWidth="1"/>
    <col min="8" max="8" width="15.5703125" style="16" customWidth="1"/>
    <col min="9" max="9" width="12.5703125" customWidth="1"/>
    <col min="10" max="10" width="5.85546875" customWidth="1"/>
    <col min="11" max="11" width="9.42578125" customWidth="1"/>
    <col min="12" max="12" width="5.85546875" customWidth="1"/>
    <col min="13" max="13" width="6.425781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7" t="s">
        <v>5</v>
      </c>
      <c r="G1" s="6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2" t="s">
        <v>215</v>
      </c>
      <c r="B2" s="2">
        <v>45944</v>
      </c>
      <c r="C2" s="1" t="s">
        <v>13</v>
      </c>
      <c r="D2" s="1">
        <v>7</v>
      </c>
      <c r="E2" s="7">
        <v>40000</v>
      </c>
      <c r="F2" s="18">
        <f t="shared" ref="F2:F3" si="0">G2-H2</f>
        <v>440000</v>
      </c>
      <c r="G2" s="7">
        <v>1200000</v>
      </c>
      <c r="H2" s="10">
        <v>760000</v>
      </c>
      <c r="I2" s="2">
        <f t="shared" ref="I2:I3" si="1">IF(F2=0,"",IF(C2="CRED",B2+(INT((G2-F2)/E2)+1)*D2,B2+INT((G2-F2)/E2)*D2))</f>
        <v>46084</v>
      </c>
      <c r="J2" s="1">
        <f t="shared" ref="J2:J3" ca="1" si="2">IF(I2="","",I2-TODAY())</f>
        <v>-65</v>
      </c>
      <c r="K2" s="3" t="str">
        <f t="shared" ref="K2:K3" ca="1" si="3">IF(J2="","",IF(J2&lt;0,"VENCIDO",IF(J2&lt;=1,"PRÓXIMO","VIGENTE")))</f>
        <v>VENCIDO</v>
      </c>
      <c r="L2" s="1">
        <f t="shared" ref="L2:L3" si="4">IF(F2=G2,0,INT((G2-F2)/E2))</f>
        <v>19</v>
      </c>
      <c r="M2" s="1">
        <f t="shared" ref="M2:M3" si="5">IF(F2=0,0,INT(F2/E2)+(IF(MOD(F2,E2)&gt;0,1,0)))</f>
        <v>11</v>
      </c>
    </row>
    <row r="3" spans="1:13" x14ac:dyDescent="0.25">
      <c r="A3" s="12" t="s">
        <v>22</v>
      </c>
      <c r="B3" s="2">
        <v>45943</v>
      </c>
      <c r="C3" s="1"/>
      <c r="D3" s="1">
        <v>7</v>
      </c>
      <c r="E3" s="7">
        <v>42000</v>
      </c>
      <c r="F3" s="18">
        <f t="shared" si="0"/>
        <v>84000</v>
      </c>
      <c r="G3" s="7">
        <v>1260000</v>
      </c>
      <c r="H3" s="10">
        <v>1176000</v>
      </c>
      <c r="I3" s="2">
        <f t="shared" si="1"/>
        <v>46139</v>
      </c>
      <c r="J3" s="1">
        <f t="shared" ca="1" si="2"/>
        <v>-10</v>
      </c>
      <c r="K3" s="3" t="str">
        <f t="shared" ca="1" si="3"/>
        <v>VENCIDO</v>
      </c>
      <c r="L3" s="1">
        <f t="shared" si="4"/>
        <v>28</v>
      </c>
      <c r="M3" s="1">
        <f t="shared" si="5"/>
        <v>2</v>
      </c>
    </row>
    <row r="4" spans="1:13" x14ac:dyDescent="0.25">
      <c r="A4" s="1" t="s">
        <v>24</v>
      </c>
      <c r="B4" s="2">
        <v>45917</v>
      </c>
      <c r="C4" s="1"/>
      <c r="D4" s="1">
        <v>7</v>
      </c>
      <c r="E4" s="7">
        <v>57000</v>
      </c>
      <c r="F4" s="18">
        <f t="shared" ref="F4:F7" si="6">G4-H4</f>
        <v>342000</v>
      </c>
      <c r="G4" s="7">
        <v>1710000</v>
      </c>
      <c r="H4" s="10">
        <v>1368000</v>
      </c>
      <c r="I4" s="2">
        <f t="shared" ref="I4:I7" si="7">IF(F4=0,"",IF(C4="CRED",B4+(INT((G4-F4)/E4)+1)*D4,B4+INT((G4-F4)/E4)*D4))</f>
        <v>46085</v>
      </c>
      <c r="J4" s="1">
        <f t="shared" ref="J4:J7" ca="1" si="8">IF(I4="","",I4-TODAY())</f>
        <v>-64</v>
      </c>
      <c r="K4" s="3" t="str">
        <f t="shared" ref="K4:K7" ca="1" si="9">IF(J4="","",IF(J4&lt;0,"VENCIDO",IF(J4&lt;=1,"PRÓXIMO","VIGENTE")))</f>
        <v>VENCIDO</v>
      </c>
      <c r="L4" s="1">
        <f t="shared" ref="L4:L7" si="10">IF(F4=G4,0,INT((G4-F4)/E4))</f>
        <v>24</v>
      </c>
      <c r="M4" s="1">
        <f t="shared" ref="M4:M7" si="11">IF(F4=0,0,INT(F4/E4)+(IF(MOD(F4,E4)&gt;0,1,0)))</f>
        <v>6</v>
      </c>
    </row>
    <row r="5" spans="1:13" x14ac:dyDescent="0.25">
      <c r="A5" s="22" t="s">
        <v>25</v>
      </c>
      <c r="B5" s="2">
        <v>45917</v>
      </c>
      <c r="C5" s="1"/>
      <c r="D5" s="1">
        <v>7</v>
      </c>
      <c r="E5" s="7">
        <v>31000</v>
      </c>
      <c r="F5" s="18">
        <f t="shared" si="6"/>
        <v>146000</v>
      </c>
      <c r="G5" s="7">
        <v>744000</v>
      </c>
      <c r="H5" s="10">
        <v>598000</v>
      </c>
      <c r="I5" s="2">
        <f t="shared" si="7"/>
        <v>46050</v>
      </c>
      <c r="J5" s="1">
        <f t="shared" ca="1" si="8"/>
        <v>-99</v>
      </c>
      <c r="K5" s="3" t="str">
        <f t="shared" ca="1" si="9"/>
        <v>VENCIDO</v>
      </c>
      <c r="L5" s="1">
        <f t="shared" si="10"/>
        <v>19</v>
      </c>
      <c r="M5" s="1">
        <f t="shared" si="11"/>
        <v>5</v>
      </c>
    </row>
    <row r="6" spans="1:13" x14ac:dyDescent="0.25">
      <c r="A6" s="1" t="s">
        <v>26</v>
      </c>
      <c r="B6" s="2">
        <v>45944</v>
      </c>
      <c r="C6" s="1"/>
      <c r="D6" s="1">
        <v>7</v>
      </c>
      <c r="E6" s="7">
        <v>33000</v>
      </c>
      <c r="F6" s="18">
        <f t="shared" si="6"/>
        <v>66000</v>
      </c>
      <c r="G6" s="7">
        <v>825000</v>
      </c>
      <c r="H6" s="10">
        <v>759000</v>
      </c>
      <c r="I6" s="2">
        <f t="shared" si="7"/>
        <v>46105</v>
      </c>
      <c r="J6" s="1">
        <f t="shared" ca="1" si="8"/>
        <v>-44</v>
      </c>
      <c r="K6" s="3" t="str">
        <f t="shared" ca="1" si="9"/>
        <v>VENCIDO</v>
      </c>
      <c r="L6" s="1">
        <f t="shared" si="10"/>
        <v>23</v>
      </c>
      <c r="M6" s="1">
        <f t="shared" si="11"/>
        <v>2</v>
      </c>
    </row>
    <row r="7" spans="1:13" x14ac:dyDescent="0.25">
      <c r="A7" s="1" t="s">
        <v>27</v>
      </c>
      <c r="B7" s="2">
        <v>45945</v>
      </c>
      <c r="C7" s="1"/>
      <c r="D7" s="1">
        <v>7</v>
      </c>
      <c r="E7" s="7">
        <v>22000</v>
      </c>
      <c r="F7" s="18">
        <f t="shared" si="6"/>
        <v>24000</v>
      </c>
      <c r="G7" s="7">
        <v>550000</v>
      </c>
      <c r="H7" s="10">
        <v>526000</v>
      </c>
      <c r="I7" s="2">
        <f t="shared" si="7"/>
        <v>46106</v>
      </c>
      <c r="J7" s="1">
        <f t="shared" ca="1" si="8"/>
        <v>-43</v>
      </c>
      <c r="K7" s="3" t="str">
        <f t="shared" ca="1" si="9"/>
        <v>VENCIDO</v>
      </c>
      <c r="L7" s="1">
        <f t="shared" si="10"/>
        <v>23</v>
      </c>
      <c r="M7" s="1">
        <f t="shared" si="11"/>
        <v>2</v>
      </c>
    </row>
    <row r="8" spans="1:13" x14ac:dyDescent="0.25">
      <c r="A8" s="1" t="s">
        <v>28</v>
      </c>
      <c r="B8" s="2">
        <v>45920</v>
      </c>
      <c r="C8" s="1"/>
      <c r="D8" s="1">
        <v>7</v>
      </c>
      <c r="E8" s="7">
        <v>33000</v>
      </c>
      <c r="F8" s="18">
        <f t="shared" ref="F8:F10" si="12">G8-H8</f>
        <v>30000</v>
      </c>
      <c r="G8" s="7">
        <v>990000</v>
      </c>
      <c r="H8" s="10">
        <v>960000</v>
      </c>
      <c r="I8" s="2">
        <f t="shared" ref="I8:I10" si="13">IF(F8=0,"",IF(C8="CRED",B8+(INT((G8-F8)/E8)+1)*D8,B8+INT((G8-F8)/E8)*D8))</f>
        <v>46123</v>
      </c>
      <c r="J8" s="1">
        <f t="shared" ref="J8:J10" ca="1" si="14">IF(I8="","",I8-TODAY())</f>
        <v>-26</v>
      </c>
      <c r="K8" s="3" t="str">
        <f t="shared" ref="K8:K10" ca="1" si="15">IF(J8="","",IF(J8&lt;0,"VENCIDO",IF(J8&lt;=1,"PRÓXIMO","VIGENTE")))</f>
        <v>VENCIDO</v>
      </c>
      <c r="L8" s="1">
        <f t="shared" ref="L8:L10" si="16">IF(F8=G8,0,INT((G8-F8)/E8))</f>
        <v>29</v>
      </c>
      <c r="M8" s="1">
        <f t="shared" ref="M8:M10" si="17">IF(F8=0,0,INT(F8/E8)+(IF(MOD(F8,E8)&gt;0,1,0)))</f>
        <v>1</v>
      </c>
    </row>
    <row r="9" spans="1:13" x14ac:dyDescent="0.25">
      <c r="A9" s="1" t="s">
        <v>29</v>
      </c>
      <c r="B9" s="2">
        <v>45906</v>
      </c>
      <c r="C9" s="1" t="s">
        <v>13</v>
      </c>
      <c r="D9" s="1">
        <v>15</v>
      </c>
      <c r="E9" s="7">
        <v>63000</v>
      </c>
      <c r="F9" s="18">
        <f t="shared" si="12"/>
        <v>252000</v>
      </c>
      <c r="G9" s="7">
        <v>945000</v>
      </c>
      <c r="H9" s="10">
        <v>693000</v>
      </c>
      <c r="I9" s="2">
        <f t="shared" si="13"/>
        <v>46086</v>
      </c>
      <c r="J9" s="1">
        <f t="shared" ca="1" si="14"/>
        <v>-63</v>
      </c>
      <c r="K9" s="3" t="str">
        <f t="shared" ca="1" si="15"/>
        <v>VENCIDO</v>
      </c>
      <c r="L9" s="1">
        <f t="shared" si="16"/>
        <v>11</v>
      </c>
      <c r="M9" s="1">
        <f t="shared" si="17"/>
        <v>4</v>
      </c>
    </row>
    <row r="10" spans="1:13" x14ac:dyDescent="0.25">
      <c r="A10" s="12" t="s">
        <v>30</v>
      </c>
      <c r="B10" s="2">
        <v>45920</v>
      </c>
      <c r="C10" s="1"/>
      <c r="D10" s="1">
        <v>7</v>
      </c>
      <c r="E10" s="7">
        <v>36000</v>
      </c>
      <c r="F10" s="18">
        <f t="shared" si="12"/>
        <v>72000</v>
      </c>
      <c r="G10" s="7">
        <v>1080000</v>
      </c>
      <c r="H10" s="10">
        <v>1008000</v>
      </c>
      <c r="I10" s="2">
        <f t="shared" si="13"/>
        <v>46116</v>
      </c>
      <c r="J10" s="1">
        <f t="shared" ca="1" si="14"/>
        <v>-33</v>
      </c>
      <c r="K10" s="3" t="str">
        <f t="shared" ca="1" si="15"/>
        <v>VENCIDO</v>
      </c>
      <c r="L10" s="1">
        <f t="shared" si="16"/>
        <v>28</v>
      </c>
      <c r="M10" s="1">
        <f t="shared" si="17"/>
        <v>2</v>
      </c>
    </row>
    <row r="11" spans="1:13" x14ac:dyDescent="0.25">
      <c r="A11" s="1" t="s">
        <v>31</v>
      </c>
      <c r="B11" s="2">
        <v>45938</v>
      </c>
      <c r="C11" s="1"/>
      <c r="D11" s="1">
        <v>7</v>
      </c>
      <c r="E11" s="7">
        <v>25000</v>
      </c>
      <c r="F11" s="18">
        <f t="shared" ref="F11" si="18">G11-H11</f>
        <v>75000</v>
      </c>
      <c r="G11" s="7">
        <v>400000</v>
      </c>
      <c r="H11" s="10">
        <v>325000</v>
      </c>
      <c r="I11" s="2">
        <f t="shared" ref="I11" si="19">IF(F11=0,"",IF(C11="CRED",B11+(INT((G11-F11)/E11)+1)*D11,B11+INT((G11-F11)/E11)*D11))</f>
        <v>46029</v>
      </c>
      <c r="J11" s="1">
        <f t="shared" ref="J11" ca="1" si="20">IF(I11="","",I11-TODAY())</f>
        <v>-120</v>
      </c>
      <c r="K11" s="3" t="str">
        <f t="shared" ref="K11" ca="1" si="21">IF(J11="","",IF(J11&lt;0,"VENCIDO",IF(J11&lt;=1,"PRÓXIMO","VIGENTE")))</f>
        <v>VENCIDO</v>
      </c>
      <c r="L11" s="1">
        <f t="shared" ref="L11" si="22">IF(F11=G11,0,INT((G11-F11)/E11))</f>
        <v>13</v>
      </c>
      <c r="M11" s="1">
        <f t="shared" ref="M11" si="23">IF(F11=0,0,INT(F11/E11)+(IF(MOD(F11,E11)&gt;0,1,0)))</f>
        <v>3</v>
      </c>
    </row>
    <row r="12" spans="1:13" x14ac:dyDescent="0.25">
      <c r="A12" s="12" t="s">
        <v>159</v>
      </c>
      <c r="B12" s="2">
        <v>45951</v>
      </c>
      <c r="C12" s="1" t="s">
        <v>13</v>
      </c>
      <c r="D12" s="1">
        <v>7</v>
      </c>
      <c r="E12" s="7">
        <v>40000</v>
      </c>
      <c r="F12" s="18">
        <f t="shared" ref="F12:F20" si="24">G12-H12</f>
        <v>192000</v>
      </c>
      <c r="G12" s="7">
        <v>1320000</v>
      </c>
      <c r="H12" s="10">
        <v>1128000</v>
      </c>
      <c r="I12" s="2">
        <f t="shared" ref="I12:I20" si="25">IF(F12=0,"",IF(C12="CRED",B12+(INT((G12-F12)/E12)+1)*D12,B12+INT((G12-F12)/E12)*D12))</f>
        <v>46154</v>
      </c>
      <c r="J12" s="1">
        <f t="shared" ref="J12:J20" ca="1" si="26">IF(I12="","",I12-TODAY())</f>
        <v>5</v>
      </c>
      <c r="K12" s="3" t="str">
        <f t="shared" ref="K12:K20" ca="1" si="27">IF(J12="","",IF(J12&lt;0,"VENCIDO",IF(J12&lt;=1,"PRÓXIMO","VIGENTE")))</f>
        <v>VIGENTE</v>
      </c>
      <c r="L12" s="1">
        <f t="shared" ref="L12:L20" si="28">IF(F12=G12,0,INT((G12-F12)/E12))</f>
        <v>28</v>
      </c>
      <c r="M12" s="1">
        <f t="shared" ref="M12:M20" si="29">IF(F12=0,0,INT(F12/E12)+(IF(MOD(F12,E12)&gt;0,1,0)))</f>
        <v>5</v>
      </c>
    </row>
    <row r="13" spans="1:13" x14ac:dyDescent="0.25">
      <c r="A13" s="22" t="s">
        <v>20</v>
      </c>
      <c r="B13" s="2">
        <v>45944</v>
      </c>
      <c r="C13" s="1" t="s">
        <v>13</v>
      </c>
      <c r="D13" s="1">
        <v>30</v>
      </c>
      <c r="E13" s="7">
        <v>200000</v>
      </c>
      <c r="F13" s="18">
        <f t="shared" si="24"/>
        <v>400000</v>
      </c>
      <c r="G13" s="7">
        <v>1200000</v>
      </c>
      <c r="H13" s="10">
        <v>800000</v>
      </c>
      <c r="I13" s="2">
        <f t="shared" si="25"/>
        <v>46094</v>
      </c>
      <c r="J13" s="1">
        <f t="shared" ca="1" si="26"/>
        <v>-55</v>
      </c>
      <c r="K13" s="3" t="str">
        <f t="shared" ca="1" si="27"/>
        <v>VENCIDO</v>
      </c>
      <c r="L13" s="1">
        <f t="shared" si="28"/>
        <v>4</v>
      </c>
      <c r="M13" s="1">
        <f t="shared" si="29"/>
        <v>2</v>
      </c>
    </row>
    <row r="14" spans="1:13" x14ac:dyDescent="0.25">
      <c r="A14" s="12" t="s">
        <v>36</v>
      </c>
      <c r="B14" s="2">
        <v>45952</v>
      </c>
      <c r="C14" s="1"/>
      <c r="D14" s="1">
        <v>7</v>
      </c>
      <c r="E14" s="7">
        <v>36000</v>
      </c>
      <c r="F14" s="18">
        <f t="shared" si="24"/>
        <v>397000</v>
      </c>
      <c r="G14" s="7">
        <v>1080000</v>
      </c>
      <c r="H14" s="10">
        <v>683000</v>
      </c>
      <c r="I14" s="2">
        <f t="shared" si="25"/>
        <v>46078</v>
      </c>
      <c r="J14" s="1">
        <f t="shared" ca="1" si="26"/>
        <v>-71</v>
      </c>
      <c r="K14" s="3" t="str">
        <f t="shared" ca="1" si="27"/>
        <v>VENCIDO</v>
      </c>
      <c r="L14" s="1">
        <f t="shared" si="28"/>
        <v>18</v>
      </c>
      <c r="M14" s="1">
        <f t="shared" si="29"/>
        <v>12</v>
      </c>
    </row>
    <row r="15" spans="1:13" x14ac:dyDescent="0.25">
      <c r="A15" s="12" t="s">
        <v>38</v>
      </c>
      <c r="B15" s="2">
        <v>45959</v>
      </c>
      <c r="C15" s="1"/>
      <c r="D15" s="1">
        <v>15</v>
      </c>
      <c r="E15" s="7">
        <v>94000</v>
      </c>
      <c r="F15" s="18">
        <f t="shared" si="24"/>
        <v>376000</v>
      </c>
      <c r="G15" s="7">
        <v>1410000</v>
      </c>
      <c r="H15" s="10">
        <v>1034000</v>
      </c>
      <c r="I15" s="2">
        <f t="shared" si="25"/>
        <v>46124</v>
      </c>
      <c r="J15" s="1">
        <f t="shared" ca="1" si="26"/>
        <v>-25</v>
      </c>
      <c r="K15" s="3" t="str">
        <f t="shared" ca="1" si="27"/>
        <v>VENCIDO</v>
      </c>
      <c r="L15" s="1">
        <f t="shared" si="28"/>
        <v>11</v>
      </c>
      <c r="M15" s="1">
        <f t="shared" si="29"/>
        <v>4</v>
      </c>
    </row>
    <row r="16" spans="1:13" x14ac:dyDescent="0.25">
      <c r="A16" s="12" t="s">
        <v>40</v>
      </c>
      <c r="B16" s="2">
        <v>45959</v>
      </c>
      <c r="C16" s="1"/>
      <c r="D16" s="1">
        <v>7</v>
      </c>
      <c r="E16" s="7">
        <v>49000</v>
      </c>
      <c r="F16" s="18">
        <f t="shared" si="24"/>
        <v>637000</v>
      </c>
      <c r="G16" s="7">
        <v>1960000</v>
      </c>
      <c r="H16" s="10">
        <v>1323000</v>
      </c>
      <c r="I16" s="2">
        <f t="shared" si="25"/>
        <v>46148</v>
      </c>
      <c r="J16" s="1">
        <f t="shared" ca="1" si="26"/>
        <v>-1</v>
      </c>
      <c r="K16" s="3" t="str">
        <f t="shared" ca="1" si="27"/>
        <v>VENCIDO</v>
      </c>
      <c r="L16" s="1">
        <f t="shared" si="28"/>
        <v>27</v>
      </c>
      <c r="M16" s="1">
        <f t="shared" si="29"/>
        <v>13</v>
      </c>
    </row>
    <row r="17" spans="1:13" x14ac:dyDescent="0.25">
      <c r="A17" s="12" t="s">
        <v>46</v>
      </c>
      <c r="B17" s="2">
        <v>45966</v>
      </c>
      <c r="C17" s="1" t="s">
        <v>13</v>
      </c>
      <c r="D17" s="1">
        <v>7</v>
      </c>
      <c r="E17" s="7">
        <v>47000</v>
      </c>
      <c r="F17" s="18">
        <f t="shared" si="24"/>
        <v>235000</v>
      </c>
      <c r="G17" s="7">
        <v>1410000</v>
      </c>
      <c r="H17" s="10">
        <v>1175000</v>
      </c>
      <c r="I17" s="2">
        <f t="shared" si="25"/>
        <v>46148</v>
      </c>
      <c r="J17" s="1">
        <f t="shared" ca="1" si="26"/>
        <v>-1</v>
      </c>
      <c r="K17" s="3" t="str">
        <f t="shared" ca="1" si="27"/>
        <v>VENCIDO</v>
      </c>
      <c r="L17" s="1">
        <f t="shared" si="28"/>
        <v>25</v>
      </c>
      <c r="M17" s="1">
        <f t="shared" si="29"/>
        <v>5</v>
      </c>
    </row>
    <row r="18" spans="1:13" x14ac:dyDescent="0.25">
      <c r="A18" s="12" t="s">
        <v>45</v>
      </c>
      <c r="B18" s="2">
        <v>45966</v>
      </c>
      <c r="C18" s="1"/>
      <c r="D18" s="1">
        <v>7</v>
      </c>
      <c r="E18" s="7">
        <v>30000</v>
      </c>
      <c r="F18" s="18">
        <f t="shared" si="24"/>
        <v>30000</v>
      </c>
      <c r="G18" s="7">
        <v>660000</v>
      </c>
      <c r="H18" s="10">
        <v>630000</v>
      </c>
      <c r="I18" s="2">
        <f t="shared" si="25"/>
        <v>46113</v>
      </c>
      <c r="J18" s="1">
        <f t="shared" ca="1" si="26"/>
        <v>-36</v>
      </c>
      <c r="K18" s="3" t="str">
        <f t="shared" ca="1" si="27"/>
        <v>VENCIDO</v>
      </c>
      <c r="L18" s="1">
        <f t="shared" si="28"/>
        <v>21</v>
      </c>
      <c r="M18" s="1">
        <f t="shared" si="29"/>
        <v>1</v>
      </c>
    </row>
    <row r="19" spans="1:13" x14ac:dyDescent="0.25">
      <c r="A19" s="12" t="s">
        <v>49</v>
      </c>
      <c r="B19" s="2">
        <v>45969</v>
      </c>
      <c r="C19" s="1"/>
      <c r="D19" s="1">
        <v>7</v>
      </c>
      <c r="E19" s="7">
        <v>28000</v>
      </c>
      <c r="F19" s="18">
        <f t="shared" si="24"/>
        <v>28000</v>
      </c>
      <c r="G19" s="7">
        <v>700000</v>
      </c>
      <c r="H19" s="10">
        <v>672000</v>
      </c>
      <c r="I19" s="2">
        <f t="shared" si="25"/>
        <v>46137</v>
      </c>
      <c r="J19" s="1">
        <f t="shared" ca="1" si="26"/>
        <v>-12</v>
      </c>
      <c r="K19" s="3" t="str">
        <f t="shared" ca="1" si="27"/>
        <v>VENCIDO</v>
      </c>
      <c r="L19" s="1">
        <f t="shared" si="28"/>
        <v>24</v>
      </c>
      <c r="M19" s="1">
        <f t="shared" si="29"/>
        <v>1</v>
      </c>
    </row>
    <row r="20" spans="1:13" x14ac:dyDescent="0.25">
      <c r="A20" s="31" t="s">
        <v>47</v>
      </c>
      <c r="B20" s="2">
        <v>45971</v>
      </c>
      <c r="C20" s="1"/>
      <c r="D20" s="1">
        <v>7</v>
      </c>
      <c r="E20" s="7">
        <v>30000</v>
      </c>
      <c r="F20" s="18">
        <f t="shared" si="24"/>
        <v>30000</v>
      </c>
      <c r="G20" s="7">
        <v>570000</v>
      </c>
      <c r="H20" s="10">
        <v>540000</v>
      </c>
      <c r="I20" s="2">
        <f t="shared" si="25"/>
        <v>46097</v>
      </c>
      <c r="J20" s="1">
        <f t="shared" ca="1" si="26"/>
        <v>-52</v>
      </c>
      <c r="K20" s="3" t="str">
        <f t="shared" ca="1" si="27"/>
        <v>VENCIDO</v>
      </c>
      <c r="L20" s="1">
        <f t="shared" si="28"/>
        <v>18</v>
      </c>
      <c r="M20" s="1">
        <f t="shared" si="29"/>
        <v>1</v>
      </c>
    </row>
    <row r="21" spans="1:13" x14ac:dyDescent="0.25">
      <c r="A21" s="12" t="s">
        <v>53</v>
      </c>
      <c r="B21" s="2">
        <v>45980</v>
      </c>
      <c r="C21" s="1" t="s">
        <v>13</v>
      </c>
      <c r="D21" s="1">
        <v>30</v>
      </c>
      <c r="E21" s="7">
        <v>80000</v>
      </c>
      <c r="F21" s="18">
        <f t="shared" ref="F21:F25" si="30">G21-H21</f>
        <v>160000</v>
      </c>
      <c r="G21" s="7">
        <v>400000</v>
      </c>
      <c r="H21" s="10">
        <v>240000</v>
      </c>
      <c r="I21" s="2">
        <f t="shared" ref="I21:I25" si="31">IF(F21=0,"",IF(C21="CRED",B21+(INT((G21-F21)/E21)+1)*D21,B21+INT((G21-F21)/E21)*D21))</f>
        <v>46100</v>
      </c>
      <c r="J21" s="1">
        <f t="shared" ref="J21:J25" ca="1" si="32">IF(I21="","",I21-TODAY())</f>
        <v>-49</v>
      </c>
      <c r="K21" s="3" t="str">
        <f t="shared" ref="K21:K25" ca="1" si="33">IF(J21="","",IF(J21&lt;0,"VENCIDO",IF(J21&lt;=1,"PRÓXIMO","VIGENTE")))</f>
        <v>VENCIDO</v>
      </c>
      <c r="L21" s="1">
        <f t="shared" ref="L21:L25" si="34">IF(F21=G21,0,INT((G21-F21)/E21))</f>
        <v>3</v>
      </c>
      <c r="M21" s="1">
        <f t="shared" ref="M21:M25" si="35">IF(F21=0,0,INT(F21/E21)+(IF(MOD(F21,E21)&gt;0,1,0)))</f>
        <v>2</v>
      </c>
    </row>
    <row r="22" spans="1:13" s="30" customFormat="1" ht="30" x14ac:dyDescent="0.25">
      <c r="A22" s="12" t="s">
        <v>466</v>
      </c>
      <c r="B22" s="26">
        <v>45903</v>
      </c>
      <c r="C22" s="12"/>
      <c r="D22" s="12">
        <v>7</v>
      </c>
      <c r="E22" s="27">
        <v>27000</v>
      </c>
      <c r="F22" s="28">
        <f t="shared" si="30"/>
        <v>219000</v>
      </c>
      <c r="G22" s="27">
        <v>810000</v>
      </c>
      <c r="H22" s="20">
        <v>591000</v>
      </c>
      <c r="I22" s="26">
        <f t="shared" si="31"/>
        <v>46050</v>
      </c>
      <c r="J22" s="12">
        <f t="shared" ca="1" si="32"/>
        <v>-99</v>
      </c>
      <c r="K22" s="29" t="str">
        <f t="shared" ca="1" si="33"/>
        <v>VENCIDO</v>
      </c>
      <c r="L22" s="12">
        <f t="shared" si="34"/>
        <v>21</v>
      </c>
      <c r="M22" s="12">
        <f t="shared" si="35"/>
        <v>9</v>
      </c>
    </row>
    <row r="23" spans="1:13" s="30" customFormat="1" ht="30" x14ac:dyDescent="0.25">
      <c r="A23" s="12" t="s">
        <v>55</v>
      </c>
      <c r="B23" s="26">
        <v>45955</v>
      </c>
      <c r="C23" s="12"/>
      <c r="D23" s="12">
        <v>7</v>
      </c>
      <c r="E23" s="27">
        <v>40000</v>
      </c>
      <c r="F23" s="28">
        <f t="shared" si="30"/>
        <v>440000</v>
      </c>
      <c r="G23" s="27">
        <v>1000000</v>
      </c>
      <c r="H23" s="20">
        <v>560000</v>
      </c>
      <c r="I23" s="26">
        <f t="shared" si="31"/>
        <v>46053</v>
      </c>
      <c r="J23" s="12">
        <f t="shared" ca="1" si="32"/>
        <v>-96</v>
      </c>
      <c r="K23" s="29" t="str">
        <f t="shared" ca="1" si="33"/>
        <v>VENCIDO</v>
      </c>
      <c r="L23" s="12">
        <f t="shared" si="34"/>
        <v>14</v>
      </c>
      <c r="M23" s="12">
        <f t="shared" si="35"/>
        <v>11</v>
      </c>
    </row>
    <row r="24" spans="1:13" x14ac:dyDescent="0.25">
      <c r="A24" s="12" t="s">
        <v>56</v>
      </c>
      <c r="B24" s="2">
        <v>45982</v>
      </c>
      <c r="C24" s="1"/>
      <c r="D24" s="1">
        <v>7</v>
      </c>
      <c r="E24" s="7">
        <v>58000</v>
      </c>
      <c r="F24" s="18">
        <f t="shared" si="30"/>
        <v>570000</v>
      </c>
      <c r="G24" s="7">
        <v>870000</v>
      </c>
      <c r="H24" s="10">
        <v>300000</v>
      </c>
      <c r="I24" s="2">
        <f t="shared" si="31"/>
        <v>46017</v>
      </c>
      <c r="J24" s="1">
        <f t="shared" ca="1" si="32"/>
        <v>-132</v>
      </c>
      <c r="K24" s="3" t="str">
        <f t="shared" ca="1" si="33"/>
        <v>VENCIDO</v>
      </c>
      <c r="L24" s="1">
        <f t="shared" si="34"/>
        <v>5</v>
      </c>
      <c r="M24" s="1">
        <f t="shared" si="35"/>
        <v>10</v>
      </c>
    </row>
    <row r="25" spans="1:13" x14ac:dyDescent="0.25">
      <c r="A25" s="12" t="s">
        <v>23</v>
      </c>
      <c r="B25" s="2">
        <v>45971</v>
      </c>
      <c r="C25" s="1"/>
      <c r="D25" s="1">
        <v>7</v>
      </c>
      <c r="E25" s="7">
        <v>25000</v>
      </c>
      <c r="F25" s="18">
        <f t="shared" si="30"/>
        <v>350000</v>
      </c>
      <c r="G25" s="7">
        <v>750000</v>
      </c>
      <c r="H25" s="10">
        <v>400000</v>
      </c>
      <c r="I25" s="2">
        <f t="shared" si="31"/>
        <v>46083</v>
      </c>
      <c r="J25" s="1">
        <f t="shared" ca="1" si="32"/>
        <v>-66</v>
      </c>
      <c r="K25" s="3" t="str">
        <f t="shared" ca="1" si="33"/>
        <v>VENCIDO</v>
      </c>
      <c r="L25" s="1">
        <f t="shared" si="34"/>
        <v>16</v>
      </c>
      <c r="M25" s="1">
        <f t="shared" si="35"/>
        <v>14</v>
      </c>
    </row>
    <row r="26" spans="1:13" x14ac:dyDescent="0.25">
      <c r="A26" s="12" t="s">
        <v>62</v>
      </c>
      <c r="B26" s="2">
        <v>45989</v>
      </c>
      <c r="C26" s="1"/>
      <c r="D26" s="1">
        <v>7</v>
      </c>
      <c r="E26" s="7">
        <v>31000</v>
      </c>
      <c r="F26" s="18">
        <f t="shared" ref="F26:F35" si="36">G26-H26</f>
        <v>93000</v>
      </c>
      <c r="G26" s="7">
        <v>775000</v>
      </c>
      <c r="H26" s="10">
        <v>682000</v>
      </c>
      <c r="I26" s="2">
        <f t="shared" ref="I26:I35" si="37">IF(F26=0,"",IF(C26="CRED",B26+(INT((G26-F26)/E26)+1)*D26,B26+INT((G26-F26)/E26)*D26))</f>
        <v>46143</v>
      </c>
      <c r="J26" s="1">
        <f t="shared" ref="J26:J35" ca="1" si="38">IF(I26="","",I26-TODAY())</f>
        <v>-6</v>
      </c>
      <c r="K26" s="3" t="str">
        <f t="shared" ref="K26:K35" ca="1" si="39">IF(J26="","",IF(J26&lt;0,"VENCIDO",IF(J26&lt;=1,"PRÓXIMO","VIGENTE")))</f>
        <v>VENCIDO</v>
      </c>
      <c r="L26" s="1">
        <f t="shared" ref="L26:L35" si="40">IF(F26=G26,0,INT((G26-F26)/E26))</f>
        <v>22</v>
      </c>
      <c r="M26" s="1">
        <f t="shared" ref="M26:M35" si="41">IF(F26=0,0,INT(F26/E26)+(IF(MOD(F26,E26)&gt;0,1,0)))</f>
        <v>3</v>
      </c>
    </row>
    <row r="27" spans="1:13" x14ac:dyDescent="0.25">
      <c r="A27" s="12" t="s">
        <v>64</v>
      </c>
      <c r="B27" s="2">
        <v>45990</v>
      </c>
      <c r="C27" s="1"/>
      <c r="D27" s="1">
        <v>7</v>
      </c>
      <c r="E27" s="7">
        <v>35000</v>
      </c>
      <c r="F27" s="18">
        <f t="shared" si="36"/>
        <v>140000</v>
      </c>
      <c r="G27" s="7">
        <v>910000</v>
      </c>
      <c r="H27" s="10">
        <v>770000</v>
      </c>
      <c r="I27" s="2">
        <f t="shared" si="37"/>
        <v>46144</v>
      </c>
      <c r="J27" s="1">
        <f t="shared" ca="1" si="38"/>
        <v>-5</v>
      </c>
      <c r="K27" s="3" t="str">
        <f t="shared" ca="1" si="39"/>
        <v>VENCIDO</v>
      </c>
      <c r="L27" s="1">
        <f t="shared" si="40"/>
        <v>22</v>
      </c>
      <c r="M27" s="1">
        <f t="shared" si="41"/>
        <v>4</v>
      </c>
    </row>
    <row r="28" spans="1:13" x14ac:dyDescent="0.25">
      <c r="A28" s="12" t="s">
        <v>69</v>
      </c>
      <c r="B28" s="2">
        <v>46054</v>
      </c>
      <c r="C28" s="1"/>
      <c r="D28" s="1">
        <v>14</v>
      </c>
      <c r="E28" s="7">
        <v>40000</v>
      </c>
      <c r="F28" s="18">
        <f t="shared" si="36"/>
        <v>40000</v>
      </c>
      <c r="G28" s="7">
        <v>320000</v>
      </c>
      <c r="H28" s="10">
        <v>280000</v>
      </c>
      <c r="I28" s="2">
        <f t="shared" si="37"/>
        <v>46152</v>
      </c>
      <c r="J28" s="1">
        <f t="shared" ca="1" si="38"/>
        <v>3</v>
      </c>
      <c r="K28" s="3" t="str">
        <f t="shared" ca="1" si="39"/>
        <v>VIGENTE</v>
      </c>
      <c r="L28" s="1">
        <f t="shared" si="40"/>
        <v>7</v>
      </c>
      <c r="M28" s="1">
        <f t="shared" si="41"/>
        <v>1</v>
      </c>
    </row>
    <row r="29" spans="1:13" x14ac:dyDescent="0.25">
      <c r="A29" s="12" t="s">
        <v>107</v>
      </c>
      <c r="B29" s="2">
        <v>45999</v>
      </c>
      <c r="C29" s="1"/>
      <c r="D29" s="1">
        <v>7</v>
      </c>
      <c r="E29" s="7">
        <v>50000</v>
      </c>
      <c r="F29" s="18">
        <f t="shared" si="36"/>
        <v>950000</v>
      </c>
      <c r="G29" s="7">
        <v>2000000</v>
      </c>
      <c r="H29" s="10">
        <v>1050000</v>
      </c>
      <c r="I29" s="2">
        <f t="shared" si="37"/>
        <v>46146</v>
      </c>
      <c r="J29" s="1">
        <f t="shared" ca="1" si="38"/>
        <v>-3</v>
      </c>
      <c r="K29" s="3" t="str">
        <f t="shared" ca="1" si="39"/>
        <v>VENCIDO</v>
      </c>
      <c r="L29" s="1">
        <f t="shared" si="40"/>
        <v>21</v>
      </c>
      <c r="M29" s="1">
        <f t="shared" si="41"/>
        <v>19</v>
      </c>
    </row>
    <row r="30" spans="1:13" x14ac:dyDescent="0.25">
      <c r="A30" s="12" t="s">
        <v>72</v>
      </c>
      <c r="B30" s="2">
        <v>46000</v>
      </c>
      <c r="C30" s="1"/>
      <c r="D30" s="1">
        <v>7</v>
      </c>
      <c r="E30" s="7">
        <v>37800</v>
      </c>
      <c r="F30" s="18">
        <f t="shared" si="36"/>
        <v>188000</v>
      </c>
      <c r="G30" s="7">
        <v>945000</v>
      </c>
      <c r="H30" s="10">
        <v>757000</v>
      </c>
      <c r="I30" s="2">
        <f t="shared" si="37"/>
        <v>46140</v>
      </c>
      <c r="J30" s="1">
        <f t="shared" ca="1" si="38"/>
        <v>-9</v>
      </c>
      <c r="K30" s="3" t="str">
        <f t="shared" ca="1" si="39"/>
        <v>VENCIDO</v>
      </c>
      <c r="L30" s="1">
        <f t="shared" si="40"/>
        <v>20</v>
      </c>
      <c r="M30" s="1">
        <f t="shared" si="41"/>
        <v>5</v>
      </c>
    </row>
    <row r="31" spans="1:13" x14ac:dyDescent="0.25">
      <c r="A31" s="12" t="s">
        <v>73</v>
      </c>
      <c r="B31" s="2">
        <v>46000</v>
      </c>
      <c r="C31" s="1"/>
      <c r="D31" s="1">
        <v>7</v>
      </c>
      <c r="E31" s="7">
        <v>35000</v>
      </c>
      <c r="F31" s="18">
        <f t="shared" si="36"/>
        <v>210000</v>
      </c>
      <c r="G31" s="7">
        <v>945000</v>
      </c>
      <c r="H31" s="10">
        <v>735000</v>
      </c>
      <c r="I31" s="2">
        <f t="shared" si="37"/>
        <v>46147</v>
      </c>
      <c r="J31" s="1">
        <f t="shared" ca="1" si="38"/>
        <v>-2</v>
      </c>
      <c r="K31" s="3" t="str">
        <f t="shared" ca="1" si="39"/>
        <v>VENCIDO</v>
      </c>
      <c r="L31" s="1">
        <f t="shared" si="40"/>
        <v>21</v>
      </c>
      <c r="M31" s="1">
        <f t="shared" si="41"/>
        <v>6</v>
      </c>
    </row>
    <row r="32" spans="1:13" x14ac:dyDescent="0.25">
      <c r="A32" s="12" t="s">
        <v>114</v>
      </c>
      <c r="B32" s="2">
        <v>46001</v>
      </c>
      <c r="C32" s="1" t="s">
        <v>13</v>
      </c>
      <c r="D32" s="1">
        <v>7</v>
      </c>
      <c r="E32" s="7">
        <v>60000</v>
      </c>
      <c r="F32" s="18">
        <f t="shared" si="36"/>
        <v>900000</v>
      </c>
      <c r="G32" s="7">
        <v>2100000</v>
      </c>
      <c r="H32" s="10">
        <v>1200000</v>
      </c>
      <c r="I32" s="2"/>
      <c r="J32" s="1" t="str">
        <f t="shared" ca="1" si="38"/>
        <v/>
      </c>
      <c r="K32" s="3" t="str">
        <f t="shared" ca="1" si="39"/>
        <v/>
      </c>
      <c r="L32" s="1">
        <f t="shared" si="40"/>
        <v>20</v>
      </c>
      <c r="M32" s="1">
        <f t="shared" si="41"/>
        <v>15</v>
      </c>
    </row>
    <row r="33" spans="1:13" x14ac:dyDescent="0.25">
      <c r="A33" s="12" t="s">
        <v>74</v>
      </c>
      <c r="B33" s="2">
        <v>46001</v>
      </c>
      <c r="C33" s="1" t="s">
        <v>13</v>
      </c>
      <c r="D33" s="1">
        <v>7</v>
      </c>
      <c r="E33" s="7">
        <v>50000</v>
      </c>
      <c r="F33" s="18">
        <f t="shared" si="36"/>
        <v>1040000</v>
      </c>
      <c r="G33" s="7">
        <v>2000000</v>
      </c>
      <c r="H33" s="10">
        <v>960000</v>
      </c>
      <c r="I33" s="2">
        <f t="shared" si="37"/>
        <v>46141</v>
      </c>
      <c r="J33" s="1">
        <f t="shared" ca="1" si="38"/>
        <v>-8</v>
      </c>
      <c r="K33" s="3" t="str">
        <f t="shared" ca="1" si="39"/>
        <v>VENCIDO</v>
      </c>
      <c r="L33" s="1">
        <f t="shared" si="40"/>
        <v>19</v>
      </c>
      <c r="M33" s="1">
        <f t="shared" si="41"/>
        <v>21</v>
      </c>
    </row>
    <row r="34" spans="1:13" x14ac:dyDescent="0.25">
      <c r="A34" s="12" t="s">
        <v>84</v>
      </c>
      <c r="B34" s="2">
        <v>46003</v>
      </c>
      <c r="C34" s="1"/>
      <c r="D34" s="1">
        <v>7</v>
      </c>
      <c r="E34" s="7">
        <v>37800</v>
      </c>
      <c r="F34" s="18">
        <f t="shared" si="36"/>
        <v>163500</v>
      </c>
      <c r="G34" s="7">
        <v>945000</v>
      </c>
      <c r="H34" s="10">
        <v>781500</v>
      </c>
      <c r="I34" s="2">
        <f t="shared" si="37"/>
        <v>46143</v>
      </c>
      <c r="J34" s="1">
        <f t="shared" ca="1" si="38"/>
        <v>-6</v>
      </c>
      <c r="K34" s="3" t="str">
        <f t="shared" ca="1" si="39"/>
        <v>VENCIDO</v>
      </c>
      <c r="L34" s="1">
        <f t="shared" si="40"/>
        <v>20</v>
      </c>
      <c r="M34" s="1">
        <f t="shared" si="41"/>
        <v>5</v>
      </c>
    </row>
    <row r="35" spans="1:13" x14ac:dyDescent="0.25">
      <c r="A35" s="12" t="s">
        <v>78</v>
      </c>
      <c r="B35" s="2">
        <v>46007</v>
      </c>
      <c r="C35" s="1"/>
      <c r="D35" s="1">
        <v>7</v>
      </c>
      <c r="E35" s="7">
        <v>25000</v>
      </c>
      <c r="F35" s="18">
        <f t="shared" si="36"/>
        <v>145000</v>
      </c>
      <c r="G35" s="7">
        <v>700000</v>
      </c>
      <c r="H35" s="10">
        <v>555000</v>
      </c>
      <c r="I35" s="2">
        <f t="shared" si="37"/>
        <v>46161</v>
      </c>
      <c r="J35" s="1">
        <f t="shared" ca="1" si="38"/>
        <v>12</v>
      </c>
      <c r="K35" s="3" t="str">
        <f t="shared" ca="1" si="39"/>
        <v>VIGENTE</v>
      </c>
      <c r="L35" s="1">
        <f t="shared" si="40"/>
        <v>22</v>
      </c>
      <c r="M35" s="1">
        <f t="shared" si="41"/>
        <v>6</v>
      </c>
    </row>
    <row r="36" spans="1:13" x14ac:dyDescent="0.25">
      <c r="A36" s="12" t="s">
        <v>85</v>
      </c>
      <c r="B36" s="2">
        <v>46010</v>
      </c>
      <c r="C36" s="1"/>
      <c r="D36" s="1">
        <v>7</v>
      </c>
      <c r="E36" s="7">
        <v>28000</v>
      </c>
      <c r="F36" s="18">
        <f t="shared" ref="F36:F49" si="42">G36-H36</f>
        <v>196000</v>
      </c>
      <c r="G36" s="7">
        <v>700000</v>
      </c>
      <c r="H36" s="10">
        <v>504000</v>
      </c>
      <c r="I36" s="2">
        <f t="shared" ref="I36:I49" si="43">IF(F36=0,"",IF(C36="CRED",B36+(INT((G36-F36)/E36)+1)*D36,B36+INT((G36-F36)/E36)*D36))</f>
        <v>46136</v>
      </c>
      <c r="J36" s="1">
        <f t="shared" ref="J36:J49" ca="1" si="44">IF(I36="","",I36-TODAY())</f>
        <v>-13</v>
      </c>
      <c r="K36" s="3" t="str">
        <f t="shared" ref="K36:K49" ca="1" si="45">IF(J36="","",IF(J36&lt;0,"VENCIDO",IF(J36&lt;=1,"PRÓXIMO","VIGENTE")))</f>
        <v>VENCIDO</v>
      </c>
      <c r="L36" s="1">
        <f t="shared" ref="L36:L49" si="46">IF(F36=G36,0,INT((G36-F36)/E36))</f>
        <v>18</v>
      </c>
      <c r="M36" s="1">
        <f t="shared" ref="M36:M49" si="47">IF(F36=0,0,INT(F36/E36)+(IF(MOD(F36,E36)&gt;0,1,0)))</f>
        <v>7</v>
      </c>
    </row>
    <row r="37" spans="1:13" x14ac:dyDescent="0.25">
      <c r="A37" s="12" t="s">
        <v>88</v>
      </c>
      <c r="B37" s="2">
        <v>46013</v>
      </c>
      <c r="C37" s="1" t="s">
        <v>13</v>
      </c>
      <c r="D37" s="1">
        <v>15</v>
      </c>
      <c r="E37" s="7">
        <v>70000</v>
      </c>
      <c r="F37" s="18">
        <f t="shared" si="42"/>
        <v>490000</v>
      </c>
      <c r="G37" s="7">
        <v>1120000</v>
      </c>
      <c r="H37" s="10">
        <v>630000</v>
      </c>
      <c r="I37" s="2">
        <f t="shared" si="43"/>
        <v>46163</v>
      </c>
      <c r="J37" s="1">
        <f t="shared" ca="1" si="44"/>
        <v>14</v>
      </c>
      <c r="K37" s="3" t="str">
        <f t="shared" ca="1" si="45"/>
        <v>VIGENTE</v>
      </c>
      <c r="L37" s="1">
        <f t="shared" si="46"/>
        <v>9</v>
      </c>
      <c r="M37" s="1">
        <f t="shared" si="47"/>
        <v>7</v>
      </c>
    </row>
    <row r="38" spans="1:13" x14ac:dyDescent="0.25">
      <c r="A38" s="12" t="s">
        <v>89</v>
      </c>
      <c r="B38" s="2">
        <v>46011</v>
      </c>
      <c r="C38" s="1"/>
      <c r="D38" s="1">
        <v>7</v>
      </c>
      <c r="E38" s="7">
        <v>25000</v>
      </c>
      <c r="F38" s="18">
        <f t="shared" si="42"/>
        <v>25000</v>
      </c>
      <c r="G38" s="7">
        <v>400000</v>
      </c>
      <c r="H38" s="10">
        <v>375000</v>
      </c>
      <c r="I38" s="2">
        <f t="shared" si="43"/>
        <v>46116</v>
      </c>
      <c r="J38" s="1">
        <f t="shared" ca="1" si="44"/>
        <v>-33</v>
      </c>
      <c r="K38" s="3" t="str">
        <f t="shared" ca="1" si="45"/>
        <v>VENCIDO</v>
      </c>
      <c r="L38" s="1">
        <f t="shared" si="46"/>
        <v>15</v>
      </c>
      <c r="M38" s="1">
        <f t="shared" si="47"/>
        <v>1</v>
      </c>
    </row>
    <row r="39" spans="1:13" x14ac:dyDescent="0.25">
      <c r="A39" s="12" t="s">
        <v>90</v>
      </c>
      <c r="B39" s="2">
        <v>46014</v>
      </c>
      <c r="C39" s="1"/>
      <c r="D39" s="1">
        <v>7</v>
      </c>
      <c r="E39" s="7">
        <v>37000</v>
      </c>
      <c r="F39" s="18">
        <f t="shared" si="42"/>
        <v>481000</v>
      </c>
      <c r="G39" s="7">
        <v>1110000</v>
      </c>
      <c r="H39" s="10">
        <v>629000</v>
      </c>
      <c r="I39" s="2">
        <f t="shared" si="43"/>
        <v>46133</v>
      </c>
      <c r="J39" s="1">
        <f t="shared" ca="1" si="44"/>
        <v>-16</v>
      </c>
      <c r="K39" s="3" t="str">
        <f t="shared" ca="1" si="45"/>
        <v>VENCIDO</v>
      </c>
      <c r="L39" s="1">
        <f t="shared" si="46"/>
        <v>17</v>
      </c>
      <c r="M39" s="1">
        <f t="shared" si="47"/>
        <v>13</v>
      </c>
    </row>
    <row r="40" spans="1:13" x14ac:dyDescent="0.25">
      <c r="A40" s="12" t="s">
        <v>91</v>
      </c>
      <c r="B40" s="2">
        <v>46014</v>
      </c>
      <c r="C40" s="1"/>
      <c r="D40" s="1">
        <v>7</v>
      </c>
      <c r="E40" s="7">
        <v>80000</v>
      </c>
      <c r="F40" s="18">
        <f t="shared" si="42"/>
        <v>80000</v>
      </c>
      <c r="G40" s="7">
        <v>1600000</v>
      </c>
      <c r="H40" s="10">
        <v>1520000</v>
      </c>
      <c r="I40" s="2">
        <f t="shared" si="43"/>
        <v>46147</v>
      </c>
      <c r="J40" s="1">
        <f t="shared" ca="1" si="44"/>
        <v>-2</v>
      </c>
      <c r="K40" s="3" t="str">
        <f t="shared" ca="1" si="45"/>
        <v>VENCIDO</v>
      </c>
      <c r="L40" s="1">
        <f t="shared" si="46"/>
        <v>19</v>
      </c>
      <c r="M40" s="1">
        <f t="shared" si="47"/>
        <v>1</v>
      </c>
    </row>
    <row r="41" spans="1:13" x14ac:dyDescent="0.25">
      <c r="A41" s="12" t="s">
        <v>93</v>
      </c>
      <c r="B41" s="2">
        <v>46015</v>
      </c>
      <c r="C41" s="1"/>
      <c r="D41" s="1">
        <v>7</v>
      </c>
      <c r="E41" s="7">
        <v>56000</v>
      </c>
      <c r="F41" s="18">
        <f t="shared" si="42"/>
        <v>948000</v>
      </c>
      <c r="G41" s="7">
        <v>1680000</v>
      </c>
      <c r="H41" s="10">
        <v>732000</v>
      </c>
      <c r="I41" s="2">
        <f t="shared" si="43"/>
        <v>46106</v>
      </c>
      <c r="J41" s="1">
        <f t="shared" ca="1" si="44"/>
        <v>-43</v>
      </c>
      <c r="K41" s="3" t="str">
        <f t="shared" ca="1" si="45"/>
        <v>VENCIDO</v>
      </c>
      <c r="L41" s="1">
        <f t="shared" si="46"/>
        <v>13</v>
      </c>
      <c r="M41" s="1">
        <f t="shared" si="47"/>
        <v>17</v>
      </c>
    </row>
    <row r="42" spans="1:13" s="30" customFormat="1" ht="15.75" customHeight="1" x14ac:dyDescent="0.25">
      <c r="A42" s="12" t="s">
        <v>95</v>
      </c>
      <c r="B42" s="26">
        <v>46067</v>
      </c>
      <c r="C42" s="12"/>
      <c r="D42" s="12">
        <v>7</v>
      </c>
      <c r="E42" s="27">
        <v>50000</v>
      </c>
      <c r="F42" s="28">
        <f t="shared" si="42"/>
        <v>1900000</v>
      </c>
      <c r="G42" s="27">
        <v>2400000</v>
      </c>
      <c r="H42" s="20">
        <v>500000</v>
      </c>
      <c r="I42" s="26">
        <f t="shared" si="43"/>
        <v>46137</v>
      </c>
      <c r="J42" s="12">
        <f t="shared" ca="1" si="44"/>
        <v>-12</v>
      </c>
      <c r="K42" s="29" t="str">
        <f t="shared" ca="1" si="45"/>
        <v>VENCIDO</v>
      </c>
      <c r="L42" s="12">
        <f t="shared" si="46"/>
        <v>10</v>
      </c>
      <c r="M42" s="12">
        <f t="shared" si="47"/>
        <v>38</v>
      </c>
    </row>
    <row r="43" spans="1:13" s="30" customFormat="1" ht="15.75" customHeight="1" x14ac:dyDescent="0.25">
      <c r="A43" s="12" t="s">
        <v>96</v>
      </c>
      <c r="B43" s="26">
        <v>46060</v>
      </c>
      <c r="C43" s="12"/>
      <c r="D43" s="12">
        <v>7</v>
      </c>
      <c r="E43" s="27">
        <v>49000</v>
      </c>
      <c r="F43" s="28">
        <f t="shared" si="42"/>
        <v>1371000</v>
      </c>
      <c r="G43" s="27">
        <v>1960000</v>
      </c>
      <c r="H43" s="20">
        <v>589000</v>
      </c>
      <c r="I43" s="26">
        <f t="shared" si="43"/>
        <v>46144</v>
      </c>
      <c r="J43" s="12">
        <f t="shared" ca="1" si="44"/>
        <v>-5</v>
      </c>
      <c r="K43" s="29" t="str">
        <f t="shared" ca="1" si="45"/>
        <v>VENCIDO</v>
      </c>
      <c r="L43" s="12">
        <f t="shared" si="46"/>
        <v>12</v>
      </c>
      <c r="M43" s="12">
        <f t="shared" si="47"/>
        <v>28</v>
      </c>
    </row>
    <row r="44" spans="1:13" x14ac:dyDescent="0.25">
      <c r="A44" s="12" t="s">
        <v>99</v>
      </c>
      <c r="B44" s="2">
        <v>46077</v>
      </c>
      <c r="C44" s="1" t="s">
        <v>13</v>
      </c>
      <c r="D44" s="1">
        <v>15</v>
      </c>
      <c r="E44" s="7">
        <v>133000</v>
      </c>
      <c r="F44" s="18">
        <f t="shared" si="42"/>
        <v>332000</v>
      </c>
      <c r="G44" s="7">
        <v>665000</v>
      </c>
      <c r="H44" s="10">
        <v>333000</v>
      </c>
      <c r="I44" s="2">
        <f t="shared" si="43"/>
        <v>46122</v>
      </c>
      <c r="J44" s="1">
        <f t="shared" ca="1" si="44"/>
        <v>-27</v>
      </c>
      <c r="K44" s="3" t="str">
        <f t="shared" ca="1" si="45"/>
        <v>VENCIDO</v>
      </c>
      <c r="L44" s="1">
        <f t="shared" si="46"/>
        <v>2</v>
      </c>
      <c r="M44" s="1">
        <f t="shared" si="47"/>
        <v>3</v>
      </c>
    </row>
    <row r="45" spans="1:13" x14ac:dyDescent="0.25">
      <c r="A45" s="12" t="s">
        <v>232</v>
      </c>
      <c r="B45" s="2">
        <v>46018</v>
      </c>
      <c r="C45" s="1"/>
      <c r="D45" s="1">
        <v>7</v>
      </c>
      <c r="E45" s="7">
        <v>23000</v>
      </c>
      <c r="F45" s="18">
        <f t="shared" si="42"/>
        <v>42000</v>
      </c>
      <c r="G45" s="7">
        <v>368000</v>
      </c>
      <c r="H45" s="10">
        <v>326000</v>
      </c>
      <c r="I45" s="2">
        <f t="shared" si="43"/>
        <v>46116</v>
      </c>
      <c r="J45" s="1">
        <f t="shared" ca="1" si="44"/>
        <v>-33</v>
      </c>
      <c r="K45" s="3" t="str">
        <f t="shared" ca="1" si="45"/>
        <v>VENCIDO</v>
      </c>
      <c r="L45" s="1">
        <f t="shared" si="46"/>
        <v>14</v>
      </c>
      <c r="M45" s="1">
        <f t="shared" si="47"/>
        <v>2</v>
      </c>
    </row>
    <row r="46" spans="1:13" x14ac:dyDescent="0.25">
      <c r="A46" s="12" t="s">
        <v>100</v>
      </c>
      <c r="B46" s="2">
        <v>46018</v>
      </c>
      <c r="C46" s="1"/>
      <c r="D46" s="1">
        <v>7</v>
      </c>
      <c r="E46" s="7">
        <v>40000</v>
      </c>
      <c r="F46" s="18">
        <f t="shared" si="42"/>
        <v>560000</v>
      </c>
      <c r="G46" s="7">
        <v>1200000</v>
      </c>
      <c r="H46" s="10">
        <v>640000</v>
      </c>
      <c r="I46" s="2">
        <f t="shared" si="43"/>
        <v>46130</v>
      </c>
      <c r="J46" s="1">
        <f t="shared" ca="1" si="44"/>
        <v>-19</v>
      </c>
      <c r="K46" s="3" t="str">
        <f t="shared" ca="1" si="45"/>
        <v>VENCIDO</v>
      </c>
      <c r="L46" s="1">
        <f t="shared" si="46"/>
        <v>16</v>
      </c>
      <c r="M46" s="1">
        <f t="shared" si="47"/>
        <v>14</v>
      </c>
    </row>
    <row r="47" spans="1:13" x14ac:dyDescent="0.25">
      <c r="A47" s="12" t="s">
        <v>101</v>
      </c>
      <c r="B47" s="2">
        <v>46018</v>
      </c>
      <c r="C47" s="1"/>
      <c r="D47" s="1">
        <v>7</v>
      </c>
      <c r="E47" s="7">
        <v>25000</v>
      </c>
      <c r="F47" s="18">
        <f t="shared" si="42"/>
        <v>20000</v>
      </c>
      <c r="G47" s="7">
        <v>400000</v>
      </c>
      <c r="H47" s="10">
        <v>380000</v>
      </c>
      <c r="I47" s="2">
        <f t="shared" si="43"/>
        <v>46123</v>
      </c>
      <c r="J47" s="1">
        <f t="shared" ca="1" si="44"/>
        <v>-26</v>
      </c>
      <c r="K47" s="3" t="str">
        <f t="shared" ca="1" si="45"/>
        <v>VENCIDO</v>
      </c>
      <c r="L47" s="1">
        <f t="shared" si="46"/>
        <v>15</v>
      </c>
      <c r="M47" s="1">
        <f t="shared" si="47"/>
        <v>1</v>
      </c>
    </row>
    <row r="48" spans="1:13" x14ac:dyDescent="0.25">
      <c r="A48" s="12" t="s">
        <v>103</v>
      </c>
      <c r="B48" s="2">
        <v>46020</v>
      </c>
      <c r="C48" s="1"/>
      <c r="D48" s="1">
        <v>7</v>
      </c>
      <c r="E48" s="7">
        <v>150000</v>
      </c>
      <c r="F48" s="18">
        <f t="shared" si="42"/>
        <v>1950000</v>
      </c>
      <c r="G48" s="7">
        <v>4800000</v>
      </c>
      <c r="H48" s="10">
        <v>2850000</v>
      </c>
      <c r="I48" s="2">
        <f t="shared" si="43"/>
        <v>46153</v>
      </c>
      <c r="J48" s="1">
        <f t="shared" ca="1" si="44"/>
        <v>4</v>
      </c>
      <c r="K48" s="3" t="str">
        <f t="shared" ca="1" si="45"/>
        <v>VIGENTE</v>
      </c>
      <c r="L48" s="1">
        <f t="shared" si="46"/>
        <v>19</v>
      </c>
      <c r="M48" s="1">
        <f t="shared" si="47"/>
        <v>13</v>
      </c>
    </row>
    <row r="49" spans="1:13" x14ac:dyDescent="0.25">
      <c r="A49" s="12" t="s">
        <v>111</v>
      </c>
      <c r="B49" s="2">
        <v>46020</v>
      </c>
      <c r="C49" s="1"/>
      <c r="D49" s="1">
        <v>7</v>
      </c>
      <c r="E49" s="7">
        <v>36000</v>
      </c>
      <c r="F49" s="18">
        <f t="shared" si="42"/>
        <v>216000</v>
      </c>
      <c r="G49" s="7">
        <v>900000</v>
      </c>
      <c r="H49" s="10">
        <v>684000</v>
      </c>
      <c r="I49" s="2">
        <f t="shared" si="43"/>
        <v>46153</v>
      </c>
      <c r="J49" s="1">
        <f t="shared" ca="1" si="44"/>
        <v>4</v>
      </c>
      <c r="K49" s="3" t="str">
        <f t="shared" ca="1" si="45"/>
        <v>VIGENTE</v>
      </c>
      <c r="L49" s="1">
        <f t="shared" si="46"/>
        <v>19</v>
      </c>
      <c r="M49" s="1">
        <f t="shared" si="47"/>
        <v>6</v>
      </c>
    </row>
    <row r="50" spans="1:13" x14ac:dyDescent="0.25">
      <c r="A50" s="12" t="s">
        <v>113</v>
      </c>
      <c r="B50" s="2">
        <v>46022</v>
      </c>
      <c r="C50" s="1" t="s">
        <v>13</v>
      </c>
      <c r="D50" s="1">
        <v>7</v>
      </c>
      <c r="E50" s="7">
        <v>29000</v>
      </c>
      <c r="F50" s="18">
        <f t="shared" ref="F50:F66" si="48">G50-H50</f>
        <v>58000</v>
      </c>
      <c r="G50" s="7">
        <v>464000</v>
      </c>
      <c r="H50" s="10">
        <v>406000</v>
      </c>
      <c r="I50" s="2">
        <f t="shared" ref="I50:I66" si="49">IF(F50=0,"",IF(C50="CRED",B50+(INT((G50-F50)/E50)+1)*D50,B50+INT((G50-F50)/E50)*D50))</f>
        <v>46127</v>
      </c>
      <c r="J50" s="1">
        <f t="shared" ref="J50:J66" ca="1" si="50">IF(I50="","",I50-TODAY())</f>
        <v>-22</v>
      </c>
      <c r="K50" s="3" t="str">
        <f t="shared" ref="K50:K66" ca="1" si="51">IF(J50="","",IF(J50&lt;0,"VENCIDO",IF(J50&lt;=1,"PRÓXIMO","VIGENTE")))</f>
        <v>VENCIDO</v>
      </c>
      <c r="L50" s="1">
        <f t="shared" ref="L50:L66" si="52">IF(F50=G50,0,INT((G50-F50)/E50))</f>
        <v>14</v>
      </c>
      <c r="M50" s="1">
        <f t="shared" ref="M50:M66" si="53">IF(F50=0,0,INT(F50/E50)+(IF(MOD(F50,E50)&gt;0,1,0)))</f>
        <v>2</v>
      </c>
    </row>
    <row r="51" spans="1:13" x14ac:dyDescent="0.25">
      <c r="A51" s="12" t="s">
        <v>141</v>
      </c>
      <c r="B51" s="2">
        <v>46024</v>
      </c>
      <c r="C51" s="1" t="s">
        <v>13</v>
      </c>
      <c r="D51" s="1">
        <v>7</v>
      </c>
      <c r="E51" s="7">
        <v>35000</v>
      </c>
      <c r="F51" s="18">
        <f t="shared" si="48"/>
        <v>420000</v>
      </c>
      <c r="G51" s="7">
        <v>1015000</v>
      </c>
      <c r="H51" s="10">
        <v>595000</v>
      </c>
      <c r="I51" s="2">
        <f t="shared" si="49"/>
        <v>46150</v>
      </c>
      <c r="J51" s="1">
        <f t="shared" ca="1" si="50"/>
        <v>1</v>
      </c>
      <c r="K51" s="3" t="str">
        <f t="shared" ca="1" si="51"/>
        <v>PRÓXIMO</v>
      </c>
      <c r="L51" s="1">
        <f t="shared" si="52"/>
        <v>17</v>
      </c>
      <c r="M51" s="1">
        <f t="shared" si="53"/>
        <v>12</v>
      </c>
    </row>
    <row r="52" spans="1:13" x14ac:dyDescent="0.25">
      <c r="A52" s="12" t="s">
        <v>115</v>
      </c>
      <c r="B52" s="2">
        <v>46024</v>
      </c>
      <c r="C52" s="1" t="s">
        <v>13</v>
      </c>
      <c r="D52" s="1">
        <v>30</v>
      </c>
      <c r="E52" s="7">
        <v>150000</v>
      </c>
      <c r="F52" s="18">
        <f t="shared" si="48"/>
        <v>450000</v>
      </c>
      <c r="G52" s="7">
        <v>900000</v>
      </c>
      <c r="H52" s="10">
        <v>450000</v>
      </c>
      <c r="I52" s="2">
        <f t="shared" si="49"/>
        <v>46144</v>
      </c>
      <c r="J52" s="1">
        <f t="shared" ca="1" si="50"/>
        <v>-5</v>
      </c>
      <c r="K52" s="3" t="str">
        <f t="shared" ca="1" si="51"/>
        <v>VENCIDO</v>
      </c>
      <c r="L52" s="1">
        <f t="shared" si="52"/>
        <v>3</v>
      </c>
      <c r="M52" s="1">
        <f t="shared" si="53"/>
        <v>3</v>
      </c>
    </row>
    <row r="53" spans="1:13" x14ac:dyDescent="0.25">
      <c r="A53" s="12" t="s">
        <v>118</v>
      </c>
      <c r="B53" s="2">
        <v>46025</v>
      </c>
      <c r="C53" s="1" t="s">
        <v>13</v>
      </c>
      <c r="D53" s="1">
        <v>7</v>
      </c>
      <c r="E53" s="7">
        <v>40000</v>
      </c>
      <c r="F53" s="18">
        <f t="shared" si="48"/>
        <v>400000</v>
      </c>
      <c r="G53" s="7">
        <v>1080000</v>
      </c>
      <c r="H53" s="10">
        <v>680000</v>
      </c>
      <c r="I53" s="2">
        <f t="shared" si="49"/>
        <v>46151</v>
      </c>
      <c r="J53" s="1">
        <f t="shared" ca="1" si="50"/>
        <v>2</v>
      </c>
      <c r="K53" s="3" t="str">
        <f t="shared" ca="1" si="51"/>
        <v>VIGENTE</v>
      </c>
      <c r="L53" s="1">
        <f t="shared" si="52"/>
        <v>17</v>
      </c>
      <c r="M53" s="1">
        <f t="shared" si="53"/>
        <v>10</v>
      </c>
    </row>
    <row r="54" spans="1:13" x14ac:dyDescent="0.25">
      <c r="A54" s="12" t="s">
        <v>123</v>
      </c>
      <c r="B54" s="2">
        <v>46028</v>
      </c>
      <c r="C54" s="1" t="s">
        <v>13</v>
      </c>
      <c r="D54" s="1">
        <v>7</v>
      </c>
      <c r="E54" s="7">
        <v>35000</v>
      </c>
      <c r="F54" s="18">
        <f t="shared" si="48"/>
        <v>455000</v>
      </c>
      <c r="G54" s="7">
        <v>1050000</v>
      </c>
      <c r="H54" s="10">
        <v>595000</v>
      </c>
      <c r="I54" s="2">
        <f t="shared" si="49"/>
        <v>46154</v>
      </c>
      <c r="J54" s="1">
        <f t="shared" ca="1" si="50"/>
        <v>5</v>
      </c>
      <c r="K54" s="3" t="str">
        <f t="shared" ca="1" si="51"/>
        <v>VIGENTE</v>
      </c>
      <c r="L54" s="1">
        <f t="shared" si="52"/>
        <v>17</v>
      </c>
      <c r="M54" s="1">
        <f t="shared" si="53"/>
        <v>13</v>
      </c>
    </row>
    <row r="55" spans="1:13" x14ac:dyDescent="0.25">
      <c r="A55" s="12" t="s">
        <v>260</v>
      </c>
      <c r="B55" s="2">
        <v>46028</v>
      </c>
      <c r="C55" s="1" t="s">
        <v>13</v>
      </c>
      <c r="D55" s="1">
        <v>7</v>
      </c>
      <c r="E55" s="7">
        <v>37000</v>
      </c>
      <c r="F55" s="18">
        <f t="shared" si="48"/>
        <v>37000</v>
      </c>
      <c r="G55" s="7">
        <v>370000</v>
      </c>
      <c r="H55" s="10">
        <v>333000</v>
      </c>
      <c r="I55" s="2">
        <f t="shared" si="49"/>
        <v>46098</v>
      </c>
      <c r="J55" s="1">
        <f t="shared" ca="1" si="50"/>
        <v>-51</v>
      </c>
      <c r="K55" s="3" t="str">
        <f t="shared" ca="1" si="51"/>
        <v>VENCIDO</v>
      </c>
      <c r="L55" s="1">
        <f t="shared" si="52"/>
        <v>9</v>
      </c>
      <c r="M55" s="1">
        <f t="shared" si="53"/>
        <v>1</v>
      </c>
    </row>
    <row r="56" spans="1:13" x14ac:dyDescent="0.25">
      <c r="A56" s="12" t="s">
        <v>125</v>
      </c>
      <c r="B56" s="2">
        <v>46028</v>
      </c>
      <c r="C56" s="1"/>
      <c r="D56" s="1">
        <v>7</v>
      </c>
      <c r="E56" s="7">
        <v>40000</v>
      </c>
      <c r="F56" s="18">
        <f t="shared" si="48"/>
        <v>240000</v>
      </c>
      <c r="G56" s="7">
        <v>880000</v>
      </c>
      <c r="H56" s="10">
        <v>640000</v>
      </c>
      <c r="I56" s="2">
        <f t="shared" si="49"/>
        <v>46140</v>
      </c>
      <c r="J56" s="1">
        <f t="shared" ca="1" si="50"/>
        <v>-9</v>
      </c>
      <c r="K56" s="3" t="str">
        <f t="shared" ca="1" si="51"/>
        <v>VENCIDO</v>
      </c>
      <c r="L56" s="1">
        <f t="shared" si="52"/>
        <v>16</v>
      </c>
      <c r="M56" s="1">
        <f t="shared" si="53"/>
        <v>6</v>
      </c>
    </row>
    <row r="57" spans="1:13" x14ac:dyDescent="0.25">
      <c r="A57" s="12" t="s">
        <v>126</v>
      </c>
      <c r="B57" s="2">
        <v>46028</v>
      </c>
      <c r="C57" s="1" t="s">
        <v>13</v>
      </c>
      <c r="D57" s="1">
        <v>7</v>
      </c>
      <c r="E57" s="7">
        <v>29000</v>
      </c>
      <c r="F57" s="18">
        <f t="shared" si="48"/>
        <v>434000</v>
      </c>
      <c r="G57" s="7">
        <v>870000</v>
      </c>
      <c r="H57" s="10">
        <v>436000</v>
      </c>
      <c r="I57" s="2">
        <f t="shared" si="49"/>
        <v>46140</v>
      </c>
      <c r="J57" s="1">
        <f t="shared" ca="1" si="50"/>
        <v>-9</v>
      </c>
      <c r="K57" s="3" t="str">
        <f t="shared" ca="1" si="51"/>
        <v>VENCIDO</v>
      </c>
      <c r="L57" s="1">
        <f t="shared" si="52"/>
        <v>15</v>
      </c>
      <c r="M57" s="1">
        <f t="shared" si="53"/>
        <v>15</v>
      </c>
    </row>
    <row r="58" spans="1:13" x14ac:dyDescent="0.25">
      <c r="A58" s="12" t="s">
        <v>128</v>
      </c>
      <c r="B58" s="2">
        <v>46030</v>
      </c>
      <c r="C58" s="1"/>
      <c r="D58" s="1">
        <v>7</v>
      </c>
      <c r="E58" s="7">
        <v>18000</v>
      </c>
      <c r="F58" s="18">
        <f t="shared" si="48"/>
        <v>54000</v>
      </c>
      <c r="G58" s="7">
        <v>360000</v>
      </c>
      <c r="H58" s="10">
        <v>306000</v>
      </c>
      <c r="I58" s="2">
        <f t="shared" si="49"/>
        <v>46149</v>
      </c>
      <c r="J58" s="1">
        <f t="shared" ca="1" si="50"/>
        <v>0</v>
      </c>
      <c r="K58" s="3" t="str">
        <f t="shared" ca="1" si="51"/>
        <v>PRÓXIMO</v>
      </c>
      <c r="L58" s="1">
        <f t="shared" si="52"/>
        <v>17</v>
      </c>
      <c r="M58" s="1">
        <f t="shared" si="53"/>
        <v>3</v>
      </c>
    </row>
    <row r="59" spans="1:13" x14ac:dyDescent="0.25">
      <c r="A59" s="12" t="s">
        <v>196</v>
      </c>
      <c r="B59" s="2">
        <v>46034</v>
      </c>
      <c r="C59" s="1"/>
      <c r="D59" s="1">
        <v>7</v>
      </c>
      <c r="E59" s="7">
        <v>35000</v>
      </c>
      <c r="F59" s="18">
        <f t="shared" si="48"/>
        <v>420000</v>
      </c>
      <c r="G59" s="7">
        <v>1120000</v>
      </c>
      <c r="H59" s="10">
        <v>700000</v>
      </c>
      <c r="I59" s="2">
        <f t="shared" si="49"/>
        <v>46174</v>
      </c>
      <c r="J59" s="1">
        <f t="shared" ca="1" si="50"/>
        <v>25</v>
      </c>
      <c r="K59" s="3" t="str">
        <f t="shared" ca="1" si="51"/>
        <v>VIGENTE</v>
      </c>
      <c r="L59" s="1">
        <f t="shared" si="52"/>
        <v>20</v>
      </c>
      <c r="M59" s="1">
        <f t="shared" si="53"/>
        <v>12</v>
      </c>
    </row>
    <row r="60" spans="1:13" x14ac:dyDescent="0.25">
      <c r="A60" s="12" t="s">
        <v>133</v>
      </c>
      <c r="B60" s="2">
        <v>46035</v>
      </c>
      <c r="C60" s="1"/>
      <c r="D60" s="1">
        <v>7</v>
      </c>
      <c r="E60" s="7">
        <v>35000</v>
      </c>
      <c r="F60" s="18">
        <f t="shared" si="48"/>
        <v>140000</v>
      </c>
      <c r="G60" s="7">
        <v>700000</v>
      </c>
      <c r="H60" s="10">
        <v>560000</v>
      </c>
      <c r="I60" s="2">
        <f t="shared" si="49"/>
        <v>46147</v>
      </c>
      <c r="J60" s="1">
        <f t="shared" ca="1" si="50"/>
        <v>-2</v>
      </c>
      <c r="K60" s="3" t="str">
        <f t="shared" ca="1" si="51"/>
        <v>VENCIDO</v>
      </c>
      <c r="L60" s="1">
        <f t="shared" si="52"/>
        <v>16</v>
      </c>
      <c r="M60" s="1">
        <f t="shared" si="53"/>
        <v>4</v>
      </c>
    </row>
    <row r="61" spans="1:13" x14ac:dyDescent="0.25">
      <c r="A61" s="12" t="s">
        <v>134</v>
      </c>
      <c r="B61" s="2">
        <v>46035</v>
      </c>
      <c r="C61" s="1"/>
      <c r="D61" s="1">
        <v>7</v>
      </c>
      <c r="E61" s="7">
        <v>35000</v>
      </c>
      <c r="F61" s="18">
        <f t="shared" si="48"/>
        <v>315000</v>
      </c>
      <c r="G61" s="7">
        <v>700000</v>
      </c>
      <c r="H61" s="10">
        <v>385000</v>
      </c>
      <c r="I61" s="2">
        <f t="shared" si="49"/>
        <v>46112</v>
      </c>
      <c r="J61" s="1">
        <f t="shared" ca="1" si="50"/>
        <v>-37</v>
      </c>
      <c r="K61" s="3" t="str">
        <f t="shared" ca="1" si="51"/>
        <v>VENCIDO</v>
      </c>
      <c r="L61" s="1">
        <f t="shared" si="52"/>
        <v>11</v>
      </c>
      <c r="M61" s="1">
        <f t="shared" si="53"/>
        <v>9</v>
      </c>
    </row>
    <row r="62" spans="1:13" x14ac:dyDescent="0.25">
      <c r="A62" s="12" t="s">
        <v>138</v>
      </c>
      <c r="B62" s="2">
        <v>46036</v>
      </c>
      <c r="C62" s="1"/>
      <c r="D62" s="1">
        <v>30</v>
      </c>
      <c r="E62" s="7">
        <v>88000</v>
      </c>
      <c r="F62" s="18">
        <f t="shared" si="48"/>
        <v>264000</v>
      </c>
      <c r="G62" s="7">
        <v>352000</v>
      </c>
      <c r="H62" s="10">
        <v>88000</v>
      </c>
      <c r="I62" s="2">
        <f t="shared" si="49"/>
        <v>46066</v>
      </c>
      <c r="J62" s="1">
        <f t="shared" ca="1" si="50"/>
        <v>-83</v>
      </c>
      <c r="K62" s="3" t="str">
        <f t="shared" ca="1" si="51"/>
        <v>VENCIDO</v>
      </c>
      <c r="L62" s="1">
        <f t="shared" si="52"/>
        <v>1</v>
      </c>
      <c r="M62" s="1">
        <f t="shared" si="53"/>
        <v>3</v>
      </c>
    </row>
    <row r="63" spans="1:13" x14ac:dyDescent="0.25">
      <c r="A63" s="12" t="s">
        <v>173</v>
      </c>
      <c r="B63" s="2">
        <v>46038</v>
      </c>
      <c r="C63" s="1" t="s">
        <v>13</v>
      </c>
      <c r="D63" s="1">
        <v>7</v>
      </c>
      <c r="E63" s="7">
        <v>21000</v>
      </c>
      <c r="F63" s="18">
        <f t="shared" si="48"/>
        <v>21000</v>
      </c>
      <c r="G63" s="7">
        <v>336000</v>
      </c>
      <c r="H63" s="10">
        <v>315000</v>
      </c>
      <c r="I63" s="2">
        <f t="shared" si="49"/>
        <v>46150</v>
      </c>
      <c r="J63" s="1">
        <f t="shared" ca="1" si="50"/>
        <v>1</v>
      </c>
      <c r="K63" s="3" t="str">
        <f t="shared" ca="1" si="51"/>
        <v>PRÓXIMO</v>
      </c>
      <c r="L63" s="1">
        <f t="shared" si="52"/>
        <v>15</v>
      </c>
      <c r="M63" s="1">
        <f t="shared" si="53"/>
        <v>1</v>
      </c>
    </row>
    <row r="64" spans="1:13" x14ac:dyDescent="0.25">
      <c r="A64" s="12" t="s">
        <v>149</v>
      </c>
      <c r="B64" s="2">
        <v>46038</v>
      </c>
      <c r="C64" s="1" t="s">
        <v>13</v>
      </c>
      <c r="D64" s="1">
        <v>7</v>
      </c>
      <c r="E64" s="7">
        <v>48000</v>
      </c>
      <c r="F64" s="18">
        <f t="shared" si="48"/>
        <v>32000</v>
      </c>
      <c r="G64" s="7">
        <v>432000</v>
      </c>
      <c r="H64" s="10">
        <v>400000</v>
      </c>
      <c r="I64" s="2">
        <f t="shared" si="49"/>
        <v>46101</v>
      </c>
      <c r="J64" s="1">
        <f t="shared" ca="1" si="50"/>
        <v>-48</v>
      </c>
      <c r="K64" s="3" t="str">
        <f t="shared" ca="1" si="51"/>
        <v>VENCIDO</v>
      </c>
      <c r="L64" s="1">
        <f t="shared" si="52"/>
        <v>8</v>
      </c>
      <c r="M64" s="1">
        <f t="shared" si="53"/>
        <v>1</v>
      </c>
    </row>
    <row r="65" spans="1:13" x14ac:dyDescent="0.25">
      <c r="A65" s="12" t="s">
        <v>148</v>
      </c>
      <c r="B65" s="2">
        <v>46038</v>
      </c>
      <c r="C65" s="1" t="s">
        <v>13</v>
      </c>
      <c r="D65" s="1">
        <v>7</v>
      </c>
      <c r="E65" s="7">
        <v>18000</v>
      </c>
      <c r="F65" s="18">
        <f t="shared" si="48"/>
        <v>108000</v>
      </c>
      <c r="G65" s="7">
        <v>360000</v>
      </c>
      <c r="H65" s="10">
        <v>252000</v>
      </c>
      <c r="I65" s="2">
        <f t="shared" si="49"/>
        <v>46143</v>
      </c>
      <c r="J65" s="1">
        <f t="shared" ca="1" si="50"/>
        <v>-6</v>
      </c>
      <c r="K65" s="3" t="str">
        <f t="shared" ca="1" si="51"/>
        <v>VENCIDO</v>
      </c>
      <c r="L65" s="1">
        <f t="shared" si="52"/>
        <v>14</v>
      </c>
      <c r="M65" s="1">
        <f t="shared" si="53"/>
        <v>6</v>
      </c>
    </row>
    <row r="66" spans="1:13" x14ac:dyDescent="0.25">
      <c r="A66" s="12" t="s">
        <v>334</v>
      </c>
      <c r="B66" s="2">
        <v>46038</v>
      </c>
      <c r="C66" s="1"/>
      <c r="D66" s="1">
        <v>7</v>
      </c>
      <c r="E66" s="7">
        <v>40000</v>
      </c>
      <c r="F66" s="18">
        <f t="shared" si="48"/>
        <v>1200000</v>
      </c>
      <c r="G66" s="7">
        <v>1800000</v>
      </c>
      <c r="H66" s="10">
        <v>600000</v>
      </c>
      <c r="I66" s="2">
        <f t="shared" si="49"/>
        <v>46143</v>
      </c>
      <c r="J66" s="1">
        <f t="shared" ca="1" si="50"/>
        <v>-6</v>
      </c>
      <c r="K66" s="3" t="str">
        <f t="shared" ca="1" si="51"/>
        <v>VENCIDO</v>
      </c>
      <c r="L66" s="1">
        <f t="shared" si="52"/>
        <v>15</v>
      </c>
      <c r="M66" s="1">
        <f t="shared" si="53"/>
        <v>30</v>
      </c>
    </row>
    <row r="67" spans="1:13" x14ac:dyDescent="0.25">
      <c r="A67" s="12" t="s">
        <v>151</v>
      </c>
      <c r="B67" s="2">
        <v>46044</v>
      </c>
      <c r="C67" s="1"/>
      <c r="D67" s="1">
        <v>7</v>
      </c>
      <c r="E67" s="7">
        <v>36000</v>
      </c>
      <c r="F67" s="18">
        <f t="shared" ref="F67:F76" si="54">G67-H67</f>
        <v>682000</v>
      </c>
      <c r="G67" s="7">
        <v>1152000</v>
      </c>
      <c r="H67" s="10">
        <v>470000</v>
      </c>
      <c r="I67" s="2">
        <f t="shared" ref="I67:I76" si="55">IF(F67=0,"",IF(C67="CRED",B67+(INT((G67-F67)/E67)+1)*D67,B67+INT((G67-F67)/E67)*D67))</f>
        <v>46135</v>
      </c>
      <c r="J67" s="1">
        <f t="shared" ref="J67:J76" ca="1" si="56">IF(I67="","",I67-TODAY())</f>
        <v>-14</v>
      </c>
      <c r="K67" s="3" t="str">
        <f t="shared" ref="K67:K76" ca="1" si="57">IF(J67="","",IF(J67&lt;0,"VENCIDO",IF(J67&lt;=1,"PRÓXIMO","VIGENTE")))</f>
        <v>VENCIDO</v>
      </c>
      <c r="L67" s="1">
        <f t="shared" ref="L67:L76" si="58">IF(F67=G67,0,INT((G67-F67)/E67))</f>
        <v>13</v>
      </c>
      <c r="M67" s="1">
        <f t="shared" ref="M67:M76" si="59">IF(F67=0,0,INT(F67/E67)+(IF(MOD(F67,E67)&gt;0,1,0)))</f>
        <v>19</v>
      </c>
    </row>
    <row r="68" spans="1:13" x14ac:dyDescent="0.25">
      <c r="A68" s="12" t="s">
        <v>154</v>
      </c>
      <c r="B68" s="2">
        <v>46037</v>
      </c>
      <c r="C68" s="1"/>
      <c r="D68" s="1">
        <v>7</v>
      </c>
      <c r="E68" s="7">
        <v>18000</v>
      </c>
      <c r="F68" s="18">
        <f t="shared" si="54"/>
        <v>54000</v>
      </c>
      <c r="G68" s="7">
        <v>360000</v>
      </c>
      <c r="H68" s="10">
        <v>306000</v>
      </c>
      <c r="I68" s="2">
        <f t="shared" si="55"/>
        <v>46156</v>
      </c>
      <c r="J68" s="1">
        <f t="shared" ca="1" si="56"/>
        <v>7</v>
      </c>
      <c r="K68" s="3" t="str">
        <f t="shared" ca="1" si="57"/>
        <v>VIGENTE</v>
      </c>
      <c r="L68" s="1">
        <f t="shared" si="58"/>
        <v>17</v>
      </c>
      <c r="M68" s="1">
        <f t="shared" si="59"/>
        <v>3</v>
      </c>
    </row>
    <row r="69" spans="1:13" x14ac:dyDescent="0.25">
      <c r="A69" s="12" t="s">
        <v>161</v>
      </c>
      <c r="B69" s="2">
        <v>46048</v>
      </c>
      <c r="C69" s="1"/>
      <c r="D69" s="1">
        <v>7</v>
      </c>
      <c r="E69" s="7">
        <v>35000</v>
      </c>
      <c r="F69" s="18">
        <f t="shared" si="54"/>
        <v>630000</v>
      </c>
      <c r="G69" s="7">
        <v>1120000</v>
      </c>
      <c r="H69" s="10">
        <v>490000</v>
      </c>
      <c r="I69" s="2">
        <f t="shared" si="55"/>
        <v>46146</v>
      </c>
      <c r="J69" s="1">
        <f t="shared" ca="1" si="56"/>
        <v>-3</v>
      </c>
      <c r="K69" s="3" t="str">
        <f t="shared" ca="1" si="57"/>
        <v>VENCIDO</v>
      </c>
      <c r="L69" s="1">
        <f t="shared" si="58"/>
        <v>14</v>
      </c>
      <c r="M69" s="1">
        <f t="shared" si="59"/>
        <v>18</v>
      </c>
    </row>
    <row r="70" spans="1:13" x14ac:dyDescent="0.25">
      <c r="A70" s="12" t="s">
        <v>162</v>
      </c>
      <c r="B70" s="2">
        <v>46048</v>
      </c>
      <c r="C70" s="1" t="s">
        <v>13</v>
      </c>
      <c r="D70" s="1">
        <v>7</v>
      </c>
      <c r="E70" s="7">
        <v>65000</v>
      </c>
      <c r="F70" s="18">
        <f t="shared" si="54"/>
        <v>195000</v>
      </c>
      <c r="G70" s="7">
        <v>1040000</v>
      </c>
      <c r="H70" s="10">
        <v>845000</v>
      </c>
      <c r="I70" s="2">
        <f t="shared" si="55"/>
        <v>46146</v>
      </c>
      <c r="J70" s="1">
        <f t="shared" ca="1" si="56"/>
        <v>-3</v>
      </c>
      <c r="K70" s="3" t="str">
        <f t="shared" ca="1" si="57"/>
        <v>VENCIDO</v>
      </c>
      <c r="L70" s="1">
        <f t="shared" si="58"/>
        <v>13</v>
      </c>
      <c r="M70" s="1">
        <f t="shared" si="59"/>
        <v>3</v>
      </c>
    </row>
    <row r="71" spans="1:13" x14ac:dyDescent="0.25">
      <c r="A71" s="12" t="s">
        <v>163</v>
      </c>
      <c r="B71" s="2">
        <v>46048</v>
      </c>
      <c r="C71" s="1"/>
      <c r="D71" s="1">
        <v>7</v>
      </c>
      <c r="E71" s="7">
        <v>29000</v>
      </c>
      <c r="F71" s="18">
        <f t="shared" si="54"/>
        <v>116000</v>
      </c>
      <c r="G71" s="7">
        <v>464000</v>
      </c>
      <c r="H71" s="10">
        <v>348000</v>
      </c>
      <c r="I71" s="2">
        <f t="shared" si="55"/>
        <v>46132</v>
      </c>
      <c r="J71" s="1">
        <f t="shared" ca="1" si="56"/>
        <v>-17</v>
      </c>
      <c r="K71" s="3" t="str">
        <f t="shared" ca="1" si="57"/>
        <v>VENCIDO</v>
      </c>
      <c r="L71" s="1">
        <f t="shared" si="58"/>
        <v>12</v>
      </c>
      <c r="M71" s="1">
        <f t="shared" si="59"/>
        <v>4</v>
      </c>
    </row>
    <row r="72" spans="1:13" x14ac:dyDescent="0.25">
      <c r="A72" s="12" t="s">
        <v>256</v>
      </c>
      <c r="B72" s="2">
        <v>46048</v>
      </c>
      <c r="C72" s="1"/>
      <c r="D72" s="1">
        <v>7</v>
      </c>
      <c r="E72" s="7">
        <v>24000</v>
      </c>
      <c r="F72" s="18">
        <f t="shared" si="54"/>
        <v>24000</v>
      </c>
      <c r="G72" s="7">
        <v>384000</v>
      </c>
      <c r="H72" s="10">
        <v>360000</v>
      </c>
      <c r="I72" s="2">
        <f t="shared" si="55"/>
        <v>46153</v>
      </c>
      <c r="J72" s="1">
        <f t="shared" ca="1" si="56"/>
        <v>4</v>
      </c>
      <c r="K72" s="3" t="str">
        <f t="shared" ca="1" si="57"/>
        <v>VIGENTE</v>
      </c>
      <c r="L72" s="1">
        <f t="shared" si="58"/>
        <v>15</v>
      </c>
      <c r="M72" s="1">
        <f t="shared" si="59"/>
        <v>1</v>
      </c>
    </row>
    <row r="73" spans="1:13" x14ac:dyDescent="0.25">
      <c r="A73" s="12" t="s">
        <v>168</v>
      </c>
      <c r="B73" s="2">
        <v>46101</v>
      </c>
      <c r="C73" s="1" t="s">
        <v>13</v>
      </c>
      <c r="D73" s="1">
        <v>7</v>
      </c>
      <c r="E73" s="7">
        <v>60000</v>
      </c>
      <c r="F73" s="18">
        <f t="shared" si="54"/>
        <v>780000</v>
      </c>
      <c r="G73" s="7">
        <v>1200000</v>
      </c>
      <c r="H73" s="10">
        <v>420000</v>
      </c>
      <c r="I73" s="2">
        <f t="shared" si="55"/>
        <v>46157</v>
      </c>
      <c r="J73" s="1">
        <f t="shared" ca="1" si="56"/>
        <v>8</v>
      </c>
      <c r="K73" s="3" t="str">
        <f t="shared" ca="1" si="57"/>
        <v>VIGENTE</v>
      </c>
      <c r="L73" s="1">
        <f t="shared" si="58"/>
        <v>7</v>
      </c>
      <c r="M73" s="1">
        <f t="shared" si="59"/>
        <v>13</v>
      </c>
    </row>
    <row r="74" spans="1:13" x14ac:dyDescent="0.25">
      <c r="A74" s="12" t="s">
        <v>170</v>
      </c>
      <c r="B74" s="2">
        <v>46053</v>
      </c>
      <c r="C74" s="1"/>
      <c r="D74" s="1">
        <v>7</v>
      </c>
      <c r="E74" s="7">
        <v>35000</v>
      </c>
      <c r="F74" s="18">
        <f t="shared" si="54"/>
        <v>245000</v>
      </c>
      <c r="G74" s="7">
        <v>700000</v>
      </c>
      <c r="H74" s="10">
        <v>455000</v>
      </c>
      <c r="I74" s="2">
        <f t="shared" si="55"/>
        <v>46144</v>
      </c>
      <c r="J74" s="1">
        <f t="shared" ca="1" si="56"/>
        <v>-5</v>
      </c>
      <c r="K74" s="3" t="str">
        <f t="shared" ca="1" si="57"/>
        <v>VENCIDO</v>
      </c>
      <c r="L74" s="1">
        <f t="shared" si="58"/>
        <v>13</v>
      </c>
      <c r="M74" s="1">
        <f t="shared" si="59"/>
        <v>7</v>
      </c>
    </row>
    <row r="75" spans="1:13" x14ac:dyDescent="0.25">
      <c r="A75" s="12" t="s">
        <v>171</v>
      </c>
      <c r="B75" s="2">
        <v>46053</v>
      </c>
      <c r="C75" s="1"/>
      <c r="D75" s="1">
        <v>7</v>
      </c>
      <c r="E75" s="7">
        <v>31000</v>
      </c>
      <c r="F75" s="18">
        <f t="shared" si="54"/>
        <v>62000</v>
      </c>
      <c r="G75" s="7">
        <v>496000</v>
      </c>
      <c r="H75" s="10">
        <v>434000</v>
      </c>
      <c r="I75" s="2">
        <f t="shared" si="55"/>
        <v>46151</v>
      </c>
      <c r="J75" s="1">
        <f t="shared" ca="1" si="56"/>
        <v>2</v>
      </c>
      <c r="K75" s="3" t="str">
        <f t="shared" ca="1" si="57"/>
        <v>VIGENTE</v>
      </c>
      <c r="L75" s="1">
        <f t="shared" si="58"/>
        <v>14</v>
      </c>
      <c r="M75" s="1">
        <f t="shared" si="59"/>
        <v>2</v>
      </c>
    </row>
    <row r="76" spans="1:13" x14ac:dyDescent="0.25">
      <c r="A76" s="12" t="s">
        <v>172</v>
      </c>
      <c r="B76" s="2">
        <v>46055</v>
      </c>
      <c r="C76" s="1"/>
      <c r="D76" s="1">
        <v>7</v>
      </c>
      <c r="E76" s="7">
        <v>30000</v>
      </c>
      <c r="F76" s="18">
        <f t="shared" si="54"/>
        <v>440000</v>
      </c>
      <c r="G76" s="7">
        <v>900000</v>
      </c>
      <c r="H76" s="10">
        <v>460000</v>
      </c>
      <c r="I76" s="2">
        <f t="shared" si="55"/>
        <v>46160</v>
      </c>
      <c r="J76" s="1">
        <f t="shared" ca="1" si="56"/>
        <v>11</v>
      </c>
      <c r="K76" s="3" t="str">
        <f t="shared" ca="1" si="57"/>
        <v>VIGENTE</v>
      </c>
      <c r="L76" s="1">
        <f t="shared" si="58"/>
        <v>15</v>
      </c>
      <c r="M76" s="1">
        <f t="shared" si="59"/>
        <v>15</v>
      </c>
    </row>
    <row r="77" spans="1:13" x14ac:dyDescent="0.25">
      <c r="A77" s="12" t="s">
        <v>174</v>
      </c>
      <c r="B77" s="2">
        <v>46056</v>
      </c>
      <c r="C77" s="1"/>
      <c r="D77" s="1">
        <v>7</v>
      </c>
      <c r="E77" s="7">
        <v>21000</v>
      </c>
      <c r="F77" s="18">
        <f t="shared" ref="F77:F113" si="60">G77-H77</f>
        <v>84000</v>
      </c>
      <c r="G77" s="7">
        <v>336000</v>
      </c>
      <c r="H77" s="10">
        <v>252000</v>
      </c>
      <c r="I77" s="2">
        <f t="shared" ref="I77:I113" si="61">IF(F77=0,"",IF(C77="CRED",B77+(INT((G77-F77)/E77)+1)*D77,B77+INT((G77-F77)/E77)*D77))</f>
        <v>46140</v>
      </c>
      <c r="J77" s="1">
        <f t="shared" ref="J77:J113" ca="1" si="62">IF(I77="","",I77-TODAY())</f>
        <v>-9</v>
      </c>
      <c r="K77" s="3" t="str">
        <f t="shared" ref="K77:K113" ca="1" si="63">IF(J77="","",IF(J77&lt;0,"VENCIDO",IF(J77&lt;=1,"PRÓXIMO","VIGENTE")))</f>
        <v>VENCIDO</v>
      </c>
      <c r="L77" s="1">
        <f t="shared" ref="L77:L113" si="64">IF(F77=G77,0,INT((G77-F77)/E77))</f>
        <v>12</v>
      </c>
      <c r="M77" s="1">
        <f t="shared" ref="M77:M113" si="65">IF(F77=0,0,INT(F77/E77)+(IF(MOD(F77,E77)&gt;0,1,0)))</f>
        <v>4</v>
      </c>
    </row>
    <row r="78" spans="1:13" x14ac:dyDescent="0.25">
      <c r="A78" s="12" t="s">
        <v>177</v>
      </c>
      <c r="B78" s="2">
        <v>46057</v>
      </c>
      <c r="C78" s="1"/>
      <c r="D78" s="1">
        <v>7</v>
      </c>
      <c r="E78" s="7">
        <v>35000</v>
      </c>
      <c r="F78" s="18">
        <f t="shared" si="60"/>
        <v>245000</v>
      </c>
      <c r="G78" s="7">
        <v>700000</v>
      </c>
      <c r="H78" s="10">
        <v>455000</v>
      </c>
      <c r="I78" s="2">
        <f t="shared" si="61"/>
        <v>46148</v>
      </c>
      <c r="J78" s="1">
        <f t="shared" ca="1" si="62"/>
        <v>-1</v>
      </c>
      <c r="K78" s="3" t="str">
        <f t="shared" ca="1" si="63"/>
        <v>VENCIDO</v>
      </c>
      <c r="L78" s="1">
        <f t="shared" si="64"/>
        <v>13</v>
      </c>
      <c r="M78" s="1">
        <f t="shared" si="65"/>
        <v>7</v>
      </c>
    </row>
    <row r="79" spans="1:13" x14ac:dyDescent="0.25">
      <c r="A79" s="12" t="s">
        <v>178</v>
      </c>
      <c r="B79" s="2">
        <v>46059</v>
      </c>
      <c r="C79" s="1"/>
      <c r="D79" s="1">
        <v>7</v>
      </c>
      <c r="E79" s="7">
        <v>25000</v>
      </c>
      <c r="F79" s="18">
        <f t="shared" si="60"/>
        <v>25000</v>
      </c>
      <c r="G79" s="7">
        <v>350000</v>
      </c>
      <c r="H79" s="10">
        <v>325000</v>
      </c>
      <c r="I79" s="2">
        <f t="shared" si="61"/>
        <v>46150</v>
      </c>
      <c r="J79" s="1">
        <f t="shared" ca="1" si="62"/>
        <v>1</v>
      </c>
      <c r="K79" s="3" t="str">
        <f t="shared" ca="1" si="63"/>
        <v>PRÓXIMO</v>
      </c>
      <c r="L79" s="1">
        <f t="shared" si="64"/>
        <v>13</v>
      </c>
      <c r="M79" s="1">
        <f t="shared" si="65"/>
        <v>1</v>
      </c>
    </row>
    <row r="80" spans="1:13" x14ac:dyDescent="0.25">
      <c r="A80" s="12" t="s">
        <v>179</v>
      </c>
      <c r="B80" s="2">
        <v>46059</v>
      </c>
      <c r="C80" s="1"/>
      <c r="D80" s="1">
        <v>7</v>
      </c>
      <c r="E80" s="7">
        <v>32000</v>
      </c>
      <c r="F80" s="18">
        <f t="shared" si="60"/>
        <v>554000</v>
      </c>
      <c r="G80" s="7">
        <v>960000</v>
      </c>
      <c r="H80" s="10">
        <v>406000</v>
      </c>
      <c r="I80" s="2">
        <f t="shared" si="61"/>
        <v>46143</v>
      </c>
      <c r="J80" s="1">
        <f t="shared" ca="1" si="62"/>
        <v>-6</v>
      </c>
      <c r="K80" s="3" t="str">
        <f t="shared" ca="1" si="63"/>
        <v>VENCIDO</v>
      </c>
      <c r="L80" s="1">
        <f t="shared" si="64"/>
        <v>12</v>
      </c>
      <c r="M80" s="1">
        <f t="shared" si="65"/>
        <v>18</v>
      </c>
    </row>
    <row r="81" spans="1:13" x14ac:dyDescent="0.25">
      <c r="A81" s="12" t="s">
        <v>180</v>
      </c>
      <c r="B81" s="2">
        <v>46060</v>
      </c>
      <c r="C81" s="1"/>
      <c r="D81" s="1">
        <v>7</v>
      </c>
      <c r="E81" s="7">
        <v>85000</v>
      </c>
      <c r="F81" s="18">
        <f t="shared" si="60"/>
        <v>595000</v>
      </c>
      <c r="G81" s="7">
        <v>1105000</v>
      </c>
      <c r="H81" s="10">
        <v>510000</v>
      </c>
      <c r="I81" s="2">
        <f t="shared" si="61"/>
        <v>46102</v>
      </c>
      <c r="J81" s="1">
        <f t="shared" ca="1" si="62"/>
        <v>-47</v>
      </c>
      <c r="K81" s="3" t="str">
        <f t="shared" ca="1" si="63"/>
        <v>VENCIDO</v>
      </c>
      <c r="L81" s="1">
        <f t="shared" si="64"/>
        <v>6</v>
      </c>
      <c r="M81" s="1">
        <f t="shared" si="65"/>
        <v>7</v>
      </c>
    </row>
    <row r="82" spans="1:13" x14ac:dyDescent="0.25">
      <c r="A82" s="1" t="s">
        <v>181</v>
      </c>
      <c r="B82" s="2">
        <v>46060</v>
      </c>
      <c r="C82" s="1"/>
      <c r="D82" s="1">
        <v>7</v>
      </c>
      <c r="E82" s="7">
        <v>25000</v>
      </c>
      <c r="F82" s="18">
        <f t="shared" si="60"/>
        <v>105000</v>
      </c>
      <c r="G82" s="7">
        <v>400000</v>
      </c>
      <c r="H82" s="10">
        <v>295000</v>
      </c>
      <c r="I82" s="2">
        <f t="shared" si="61"/>
        <v>46137</v>
      </c>
      <c r="J82" s="1">
        <f t="shared" ca="1" si="62"/>
        <v>-12</v>
      </c>
      <c r="K82" s="3" t="str">
        <f t="shared" ca="1" si="63"/>
        <v>VENCIDO</v>
      </c>
      <c r="L82" s="1">
        <f t="shared" si="64"/>
        <v>11</v>
      </c>
      <c r="M82" s="1">
        <f t="shared" si="65"/>
        <v>5</v>
      </c>
    </row>
    <row r="83" spans="1:13" x14ac:dyDescent="0.25">
      <c r="A83" s="12" t="s">
        <v>184</v>
      </c>
      <c r="B83" s="2">
        <v>46060</v>
      </c>
      <c r="C83" s="1"/>
      <c r="D83" s="1">
        <v>7</v>
      </c>
      <c r="E83" s="7">
        <v>54000</v>
      </c>
      <c r="F83" s="18">
        <f t="shared" si="60"/>
        <v>324000</v>
      </c>
      <c r="G83" s="7">
        <v>702000</v>
      </c>
      <c r="H83" s="10">
        <v>378000</v>
      </c>
      <c r="I83" s="2">
        <f t="shared" si="61"/>
        <v>46109</v>
      </c>
      <c r="J83" s="1">
        <f t="shared" ca="1" si="62"/>
        <v>-40</v>
      </c>
      <c r="K83" s="3" t="str">
        <f t="shared" ca="1" si="63"/>
        <v>VENCIDO</v>
      </c>
      <c r="L83" s="1">
        <f t="shared" si="64"/>
        <v>7</v>
      </c>
      <c r="M83" s="1">
        <f t="shared" si="65"/>
        <v>6</v>
      </c>
    </row>
    <row r="84" spans="1:13" x14ac:dyDescent="0.25">
      <c r="A84" s="12" t="s">
        <v>185</v>
      </c>
      <c r="B84" s="2">
        <v>46060</v>
      </c>
      <c r="C84" s="1"/>
      <c r="D84" s="1">
        <v>7</v>
      </c>
      <c r="E84" s="7">
        <v>28000</v>
      </c>
      <c r="F84" s="18">
        <f t="shared" si="60"/>
        <v>56000</v>
      </c>
      <c r="G84" s="7">
        <v>392000</v>
      </c>
      <c r="H84" s="10">
        <v>336000</v>
      </c>
      <c r="I84" s="2">
        <f t="shared" si="61"/>
        <v>46144</v>
      </c>
      <c r="J84" s="1">
        <f t="shared" ca="1" si="62"/>
        <v>-5</v>
      </c>
      <c r="K84" s="3" t="str">
        <f t="shared" ca="1" si="63"/>
        <v>VENCIDO</v>
      </c>
      <c r="L84" s="1">
        <f t="shared" si="64"/>
        <v>12</v>
      </c>
      <c r="M84" s="1">
        <f t="shared" si="65"/>
        <v>2</v>
      </c>
    </row>
    <row r="85" spans="1:13" x14ac:dyDescent="0.25">
      <c r="A85" s="12" t="s">
        <v>190</v>
      </c>
      <c r="B85" s="2">
        <v>46062</v>
      </c>
      <c r="C85" s="1" t="s">
        <v>13</v>
      </c>
      <c r="D85" s="1">
        <v>15</v>
      </c>
      <c r="E85" s="7">
        <v>200000</v>
      </c>
      <c r="F85" s="18">
        <f t="shared" si="60"/>
        <v>1200000</v>
      </c>
      <c r="G85" s="7">
        <v>2000000</v>
      </c>
      <c r="H85" s="10">
        <v>800000</v>
      </c>
      <c r="I85" s="2">
        <f t="shared" si="61"/>
        <v>46137</v>
      </c>
      <c r="J85" s="1">
        <f t="shared" ca="1" si="62"/>
        <v>-12</v>
      </c>
      <c r="K85" s="3" t="str">
        <f t="shared" ca="1" si="63"/>
        <v>VENCIDO</v>
      </c>
      <c r="L85" s="1">
        <f t="shared" si="64"/>
        <v>4</v>
      </c>
      <c r="M85" s="1">
        <f t="shared" si="65"/>
        <v>6</v>
      </c>
    </row>
    <row r="86" spans="1:13" x14ac:dyDescent="0.25">
      <c r="A86" s="12" t="s">
        <v>191</v>
      </c>
      <c r="B86" s="2">
        <v>46062</v>
      </c>
      <c r="C86" s="1"/>
      <c r="D86" s="1">
        <v>7</v>
      </c>
      <c r="E86" s="7">
        <v>100000</v>
      </c>
      <c r="F86" s="18">
        <f t="shared" si="60"/>
        <v>1700000</v>
      </c>
      <c r="G86" s="7">
        <v>2100000</v>
      </c>
      <c r="H86" s="10">
        <v>400000</v>
      </c>
      <c r="I86" s="2">
        <f t="shared" si="61"/>
        <v>46090</v>
      </c>
      <c r="J86" s="1">
        <f t="shared" ca="1" si="62"/>
        <v>-59</v>
      </c>
      <c r="K86" s="3" t="str">
        <f t="shared" ca="1" si="63"/>
        <v>VENCIDO</v>
      </c>
      <c r="L86" s="1">
        <f t="shared" si="64"/>
        <v>4</v>
      </c>
      <c r="M86" s="1">
        <f t="shared" si="65"/>
        <v>17</v>
      </c>
    </row>
    <row r="87" spans="1:13" x14ac:dyDescent="0.25">
      <c r="A87" s="12" t="s">
        <v>195</v>
      </c>
      <c r="B87" s="2">
        <v>46063</v>
      </c>
      <c r="C87" s="1"/>
      <c r="D87" s="1">
        <v>7</v>
      </c>
      <c r="E87" s="7">
        <v>35000</v>
      </c>
      <c r="F87" s="18">
        <f t="shared" si="60"/>
        <v>350000</v>
      </c>
      <c r="G87" s="7">
        <v>1155000</v>
      </c>
      <c r="H87" s="10">
        <v>805000</v>
      </c>
      <c r="I87" s="2">
        <f t="shared" si="61"/>
        <v>46224</v>
      </c>
      <c r="J87" s="1">
        <f t="shared" ca="1" si="62"/>
        <v>75</v>
      </c>
      <c r="K87" s="3" t="str">
        <f t="shared" ca="1" si="63"/>
        <v>VIGENTE</v>
      </c>
      <c r="L87" s="1">
        <f t="shared" si="64"/>
        <v>23</v>
      </c>
      <c r="M87" s="1">
        <f t="shared" si="65"/>
        <v>10</v>
      </c>
    </row>
    <row r="88" spans="1:13" x14ac:dyDescent="0.25">
      <c r="A88" s="12" t="s">
        <v>199</v>
      </c>
      <c r="B88" s="2">
        <v>46063</v>
      </c>
      <c r="C88" s="1"/>
      <c r="D88" s="1">
        <v>7</v>
      </c>
      <c r="E88" s="7">
        <v>25000</v>
      </c>
      <c r="F88" s="18">
        <f t="shared" si="60"/>
        <v>150000</v>
      </c>
      <c r="G88" s="7">
        <v>500000</v>
      </c>
      <c r="H88" s="10">
        <v>350000</v>
      </c>
      <c r="I88" s="2">
        <f t="shared" si="61"/>
        <v>46161</v>
      </c>
      <c r="J88" s="1">
        <f t="shared" ca="1" si="62"/>
        <v>12</v>
      </c>
      <c r="K88" s="3" t="str">
        <f t="shared" ca="1" si="63"/>
        <v>VIGENTE</v>
      </c>
      <c r="L88" s="1">
        <f t="shared" si="64"/>
        <v>14</v>
      </c>
      <c r="M88" s="1">
        <f t="shared" si="65"/>
        <v>6</v>
      </c>
    </row>
    <row r="89" spans="1:13" x14ac:dyDescent="0.25">
      <c r="A89" s="12" t="s">
        <v>201</v>
      </c>
      <c r="B89" s="2">
        <v>46063</v>
      </c>
      <c r="C89" s="1"/>
      <c r="D89" s="1">
        <v>7</v>
      </c>
      <c r="E89" s="7">
        <v>39000</v>
      </c>
      <c r="F89" s="18">
        <f t="shared" si="60"/>
        <v>507000</v>
      </c>
      <c r="G89" s="7">
        <v>624000</v>
      </c>
      <c r="H89" s="10">
        <v>117000</v>
      </c>
      <c r="I89" s="2">
        <f t="shared" si="61"/>
        <v>46084</v>
      </c>
      <c r="J89" s="1">
        <f t="shared" ca="1" si="62"/>
        <v>-65</v>
      </c>
      <c r="K89" s="3" t="str">
        <f t="shared" ca="1" si="63"/>
        <v>VENCIDO</v>
      </c>
      <c r="L89" s="1">
        <f t="shared" si="64"/>
        <v>3</v>
      </c>
      <c r="M89" s="1">
        <f t="shared" si="65"/>
        <v>13</v>
      </c>
    </row>
    <row r="90" spans="1:13" x14ac:dyDescent="0.25">
      <c r="A90" s="12" t="s">
        <v>208</v>
      </c>
      <c r="B90" s="2">
        <v>46066</v>
      </c>
      <c r="C90" s="1"/>
      <c r="D90" s="1">
        <v>7</v>
      </c>
      <c r="E90" s="7">
        <v>26000</v>
      </c>
      <c r="F90" s="18">
        <f t="shared" si="60"/>
        <v>130000</v>
      </c>
      <c r="G90" s="7">
        <v>260000</v>
      </c>
      <c r="H90" s="10">
        <v>130000</v>
      </c>
      <c r="I90" s="2">
        <f t="shared" si="61"/>
        <v>46101</v>
      </c>
      <c r="J90" s="1">
        <f t="shared" ca="1" si="62"/>
        <v>-48</v>
      </c>
      <c r="K90" s="3" t="str">
        <f t="shared" ca="1" si="63"/>
        <v>VENCIDO</v>
      </c>
      <c r="L90" s="1">
        <f t="shared" si="64"/>
        <v>5</v>
      </c>
      <c r="M90" s="1">
        <f t="shared" si="65"/>
        <v>5</v>
      </c>
    </row>
    <row r="91" spans="1:13" x14ac:dyDescent="0.25">
      <c r="A91" s="12" t="s">
        <v>210</v>
      </c>
      <c r="B91" s="2">
        <v>46067</v>
      </c>
      <c r="C91" s="1"/>
      <c r="D91" s="1">
        <v>7</v>
      </c>
      <c r="E91" s="7">
        <v>40000</v>
      </c>
      <c r="F91" s="18">
        <f t="shared" si="60"/>
        <v>920000</v>
      </c>
      <c r="G91" s="7">
        <v>1320000</v>
      </c>
      <c r="H91" s="10">
        <v>400000</v>
      </c>
      <c r="I91" s="2">
        <f t="shared" si="61"/>
        <v>46137</v>
      </c>
      <c r="J91" s="1">
        <f t="shared" ca="1" si="62"/>
        <v>-12</v>
      </c>
      <c r="K91" s="3" t="str">
        <f t="shared" ca="1" si="63"/>
        <v>VENCIDO</v>
      </c>
      <c r="L91" s="1">
        <f t="shared" si="64"/>
        <v>10</v>
      </c>
      <c r="M91" s="1">
        <f t="shared" si="65"/>
        <v>23</v>
      </c>
    </row>
    <row r="92" spans="1:13" x14ac:dyDescent="0.25">
      <c r="A92" s="12" t="s">
        <v>211</v>
      </c>
      <c r="B92" s="2">
        <v>46067</v>
      </c>
      <c r="C92" s="1"/>
      <c r="D92" s="1">
        <v>7</v>
      </c>
      <c r="E92" s="7">
        <v>25000</v>
      </c>
      <c r="F92" s="18">
        <f t="shared" si="60"/>
        <v>100000</v>
      </c>
      <c r="G92" s="7">
        <v>400000</v>
      </c>
      <c r="H92" s="10">
        <v>300000</v>
      </c>
      <c r="I92" s="2">
        <f t="shared" si="61"/>
        <v>46151</v>
      </c>
      <c r="J92" s="1">
        <f t="shared" ca="1" si="62"/>
        <v>2</v>
      </c>
      <c r="K92" s="3" t="str">
        <f t="shared" ca="1" si="63"/>
        <v>VIGENTE</v>
      </c>
      <c r="L92" s="1">
        <f t="shared" si="64"/>
        <v>12</v>
      </c>
      <c r="M92" s="1">
        <f t="shared" si="65"/>
        <v>4</v>
      </c>
    </row>
    <row r="93" spans="1:13" x14ac:dyDescent="0.25">
      <c r="A93" s="1" t="s">
        <v>217</v>
      </c>
      <c r="B93" s="2">
        <v>46070</v>
      </c>
      <c r="C93" s="1"/>
      <c r="D93" s="1">
        <v>7</v>
      </c>
      <c r="E93" s="7">
        <v>23000</v>
      </c>
      <c r="F93" s="18">
        <f t="shared" si="60"/>
        <v>92000</v>
      </c>
      <c r="G93" s="7">
        <v>368000</v>
      </c>
      <c r="H93" s="10">
        <v>276000</v>
      </c>
      <c r="I93" s="2">
        <f t="shared" si="61"/>
        <v>46154</v>
      </c>
      <c r="J93" s="1">
        <f t="shared" ca="1" si="62"/>
        <v>5</v>
      </c>
      <c r="K93" s="3" t="str">
        <f t="shared" ca="1" si="63"/>
        <v>VIGENTE</v>
      </c>
      <c r="L93" s="1">
        <f t="shared" si="64"/>
        <v>12</v>
      </c>
      <c r="M93" s="1">
        <f t="shared" si="65"/>
        <v>4</v>
      </c>
    </row>
    <row r="94" spans="1:13" x14ac:dyDescent="0.25">
      <c r="A94" s="12" t="s">
        <v>224</v>
      </c>
      <c r="B94" s="2">
        <v>46073</v>
      </c>
      <c r="C94" s="1" t="s">
        <v>13</v>
      </c>
      <c r="D94" s="1">
        <v>7</v>
      </c>
      <c r="E94" s="7">
        <v>57000</v>
      </c>
      <c r="F94" s="18">
        <f t="shared" si="60"/>
        <v>228000</v>
      </c>
      <c r="G94" s="7">
        <v>684000</v>
      </c>
      <c r="H94" s="10">
        <v>456000</v>
      </c>
      <c r="I94" s="2">
        <f t="shared" si="61"/>
        <v>46136</v>
      </c>
      <c r="J94" s="1">
        <f t="shared" ca="1" si="62"/>
        <v>-13</v>
      </c>
      <c r="K94" s="3" t="str">
        <f t="shared" ca="1" si="63"/>
        <v>VENCIDO</v>
      </c>
      <c r="L94" s="1">
        <f t="shared" si="64"/>
        <v>8</v>
      </c>
      <c r="M94" s="1">
        <f t="shared" si="65"/>
        <v>4</v>
      </c>
    </row>
    <row r="95" spans="1:13" x14ac:dyDescent="0.25">
      <c r="A95" s="1" t="s">
        <v>226</v>
      </c>
      <c r="B95" s="2">
        <v>46073</v>
      </c>
      <c r="C95" s="1"/>
      <c r="D95" s="1">
        <v>7</v>
      </c>
      <c r="E95" s="7">
        <v>30000</v>
      </c>
      <c r="F95" s="18">
        <f t="shared" si="60"/>
        <v>150000</v>
      </c>
      <c r="G95" s="7">
        <v>450000</v>
      </c>
      <c r="H95" s="10">
        <v>300000</v>
      </c>
      <c r="I95" s="2">
        <f t="shared" si="61"/>
        <v>46143</v>
      </c>
      <c r="J95" s="1">
        <f t="shared" ca="1" si="62"/>
        <v>-6</v>
      </c>
      <c r="K95" s="3" t="str">
        <f t="shared" ca="1" si="63"/>
        <v>VENCIDO</v>
      </c>
      <c r="L95" s="1">
        <f t="shared" si="64"/>
        <v>10</v>
      </c>
      <c r="M95" s="1">
        <f t="shared" si="65"/>
        <v>5</v>
      </c>
    </row>
    <row r="96" spans="1:13" x14ac:dyDescent="0.25">
      <c r="A96" s="1" t="s">
        <v>231</v>
      </c>
      <c r="B96" s="2">
        <v>46074</v>
      </c>
      <c r="C96" s="1" t="s">
        <v>13</v>
      </c>
      <c r="D96" s="1">
        <v>30</v>
      </c>
      <c r="E96" s="7">
        <v>100000</v>
      </c>
      <c r="F96" s="18">
        <f t="shared" si="60"/>
        <v>200000</v>
      </c>
      <c r="G96" s="7">
        <v>400000</v>
      </c>
      <c r="H96" s="10">
        <v>200000</v>
      </c>
      <c r="I96" s="2">
        <f t="shared" si="61"/>
        <v>46164</v>
      </c>
      <c r="J96" s="1">
        <f t="shared" ca="1" si="62"/>
        <v>15</v>
      </c>
      <c r="K96" s="3" t="str">
        <f t="shared" ca="1" si="63"/>
        <v>VIGENTE</v>
      </c>
      <c r="L96" s="1">
        <f t="shared" si="64"/>
        <v>2</v>
      </c>
      <c r="M96" s="1">
        <f t="shared" si="65"/>
        <v>2</v>
      </c>
    </row>
    <row r="97" spans="1:13" x14ac:dyDescent="0.25">
      <c r="A97" s="1" t="s">
        <v>233</v>
      </c>
      <c r="B97" s="2">
        <v>46076</v>
      </c>
      <c r="C97" s="1" t="s">
        <v>13</v>
      </c>
      <c r="D97" s="1">
        <v>7</v>
      </c>
      <c r="E97" s="7">
        <v>26000</v>
      </c>
      <c r="F97" s="18">
        <f t="shared" si="60"/>
        <v>52000</v>
      </c>
      <c r="G97" s="7">
        <v>260000</v>
      </c>
      <c r="H97" s="10">
        <v>208000</v>
      </c>
      <c r="I97" s="2">
        <f t="shared" si="61"/>
        <v>46139</v>
      </c>
      <c r="J97" s="1">
        <f t="shared" ca="1" si="62"/>
        <v>-10</v>
      </c>
      <c r="K97" s="3" t="str">
        <f t="shared" ca="1" si="63"/>
        <v>VENCIDO</v>
      </c>
      <c r="L97" s="1">
        <f t="shared" si="64"/>
        <v>8</v>
      </c>
      <c r="M97" s="1">
        <f t="shared" si="65"/>
        <v>2</v>
      </c>
    </row>
    <row r="98" spans="1:13" x14ac:dyDescent="0.25">
      <c r="A98" s="1" t="s">
        <v>234</v>
      </c>
      <c r="B98" s="2">
        <v>46076</v>
      </c>
      <c r="C98" s="1" t="s">
        <v>13</v>
      </c>
      <c r="D98" s="1">
        <v>15</v>
      </c>
      <c r="E98" s="7">
        <v>58000</v>
      </c>
      <c r="F98" s="18">
        <f t="shared" si="60"/>
        <v>290000</v>
      </c>
      <c r="G98" s="7">
        <v>580000</v>
      </c>
      <c r="H98" s="10">
        <v>290000</v>
      </c>
      <c r="I98" s="2">
        <f t="shared" si="61"/>
        <v>46166</v>
      </c>
      <c r="J98" s="1">
        <f t="shared" ca="1" si="62"/>
        <v>17</v>
      </c>
      <c r="K98" s="3" t="str">
        <f t="shared" ca="1" si="63"/>
        <v>VIGENTE</v>
      </c>
      <c r="L98" s="1">
        <f t="shared" si="64"/>
        <v>5</v>
      </c>
      <c r="M98" s="1">
        <f t="shared" si="65"/>
        <v>5</v>
      </c>
    </row>
    <row r="99" spans="1:13" x14ac:dyDescent="0.25">
      <c r="A99" s="1" t="s">
        <v>236</v>
      </c>
      <c r="B99" s="2">
        <v>46076</v>
      </c>
      <c r="C99" s="1" t="s">
        <v>13</v>
      </c>
      <c r="D99" s="1">
        <v>7</v>
      </c>
      <c r="E99" s="7">
        <v>111000</v>
      </c>
      <c r="F99" s="18">
        <f t="shared" si="60"/>
        <v>222000</v>
      </c>
      <c r="G99" s="7">
        <v>1332000</v>
      </c>
      <c r="H99" s="10">
        <v>1110000</v>
      </c>
      <c r="I99" s="2">
        <f t="shared" si="61"/>
        <v>46153</v>
      </c>
      <c r="J99" s="1">
        <f t="shared" ca="1" si="62"/>
        <v>4</v>
      </c>
      <c r="K99" s="3" t="str">
        <f t="shared" ca="1" si="63"/>
        <v>VIGENTE</v>
      </c>
      <c r="L99" s="1">
        <f t="shared" si="64"/>
        <v>10</v>
      </c>
      <c r="M99" s="1">
        <f t="shared" si="65"/>
        <v>2</v>
      </c>
    </row>
    <row r="100" spans="1:13" x14ac:dyDescent="0.25">
      <c r="A100" s="1" t="s">
        <v>261</v>
      </c>
      <c r="B100" s="2">
        <v>46078</v>
      </c>
      <c r="C100" s="1" t="s">
        <v>13</v>
      </c>
      <c r="D100" s="1">
        <v>7</v>
      </c>
      <c r="E100" s="7">
        <v>95000</v>
      </c>
      <c r="F100" s="18">
        <f t="shared" si="60"/>
        <v>405000</v>
      </c>
      <c r="G100" s="7">
        <v>950000</v>
      </c>
      <c r="H100" s="10">
        <v>545000</v>
      </c>
      <c r="I100" s="2">
        <f t="shared" si="61"/>
        <v>46120</v>
      </c>
      <c r="J100" s="1">
        <f t="shared" ca="1" si="62"/>
        <v>-29</v>
      </c>
      <c r="K100" s="3" t="str">
        <f t="shared" ca="1" si="63"/>
        <v>VENCIDO</v>
      </c>
      <c r="L100" s="1">
        <f t="shared" si="64"/>
        <v>5</v>
      </c>
      <c r="M100" s="1">
        <f t="shared" si="65"/>
        <v>5</v>
      </c>
    </row>
    <row r="101" spans="1:13" x14ac:dyDescent="0.25">
      <c r="A101" s="1" t="s">
        <v>257</v>
      </c>
      <c r="B101" s="2">
        <v>46111</v>
      </c>
      <c r="C101" s="1"/>
      <c r="D101" s="1">
        <v>7</v>
      </c>
      <c r="E101" s="7">
        <v>67500</v>
      </c>
      <c r="F101" s="18">
        <f t="shared" si="60"/>
        <v>1619500</v>
      </c>
      <c r="G101" s="7">
        <v>1890000</v>
      </c>
      <c r="H101" s="10">
        <v>270500</v>
      </c>
      <c r="I101" s="2">
        <f t="shared" si="61"/>
        <v>46139</v>
      </c>
      <c r="J101" s="1">
        <f t="shared" ca="1" si="62"/>
        <v>-10</v>
      </c>
      <c r="K101" s="3" t="str">
        <f t="shared" ca="1" si="63"/>
        <v>VENCIDO</v>
      </c>
      <c r="L101" s="1">
        <f t="shared" si="64"/>
        <v>4</v>
      </c>
      <c r="M101" s="1">
        <f t="shared" si="65"/>
        <v>24</v>
      </c>
    </row>
    <row r="102" spans="1:13" x14ac:dyDescent="0.25">
      <c r="A102" s="1" t="s">
        <v>245</v>
      </c>
      <c r="B102" s="2">
        <v>46079</v>
      </c>
      <c r="C102" s="1" t="s">
        <v>13</v>
      </c>
      <c r="D102" s="1">
        <v>15</v>
      </c>
      <c r="E102" s="7">
        <v>92000</v>
      </c>
      <c r="F102" s="18">
        <f t="shared" si="60"/>
        <v>920000</v>
      </c>
      <c r="G102" s="7">
        <v>1380000</v>
      </c>
      <c r="H102" s="10">
        <v>460000</v>
      </c>
      <c r="I102" s="2">
        <f t="shared" si="61"/>
        <v>46169</v>
      </c>
      <c r="J102" s="1">
        <f t="shared" ca="1" si="62"/>
        <v>20</v>
      </c>
      <c r="K102" s="3" t="str">
        <f t="shared" ca="1" si="63"/>
        <v>VIGENTE</v>
      </c>
      <c r="L102" s="1">
        <f t="shared" si="64"/>
        <v>5</v>
      </c>
      <c r="M102" s="1">
        <f t="shared" si="65"/>
        <v>10</v>
      </c>
    </row>
    <row r="103" spans="1:13" x14ac:dyDescent="0.25">
      <c r="A103" s="1" t="s">
        <v>246</v>
      </c>
      <c r="B103" s="2">
        <v>46079</v>
      </c>
      <c r="C103" s="1" t="s">
        <v>13</v>
      </c>
      <c r="D103" s="1">
        <v>15</v>
      </c>
      <c r="E103" s="7">
        <v>98000</v>
      </c>
      <c r="F103" s="18">
        <f t="shared" si="60"/>
        <v>686000</v>
      </c>
      <c r="G103" s="7">
        <v>1078000</v>
      </c>
      <c r="H103" s="10">
        <v>392000</v>
      </c>
      <c r="I103" s="2">
        <f t="shared" si="61"/>
        <v>46154</v>
      </c>
      <c r="J103" s="1">
        <f t="shared" ca="1" si="62"/>
        <v>5</v>
      </c>
      <c r="K103" s="3" t="str">
        <f t="shared" ca="1" si="63"/>
        <v>VIGENTE</v>
      </c>
      <c r="L103" s="1">
        <f t="shared" si="64"/>
        <v>4</v>
      </c>
      <c r="M103" s="1">
        <f t="shared" si="65"/>
        <v>7</v>
      </c>
    </row>
    <row r="104" spans="1:13" x14ac:dyDescent="0.25">
      <c r="A104" s="1" t="s">
        <v>247</v>
      </c>
      <c r="B104" s="2">
        <v>46079</v>
      </c>
      <c r="C104" s="1" t="s">
        <v>13</v>
      </c>
      <c r="D104" s="1">
        <v>15</v>
      </c>
      <c r="E104" s="7">
        <v>50000</v>
      </c>
      <c r="F104" s="18">
        <f t="shared" si="60"/>
        <v>200000</v>
      </c>
      <c r="G104" s="7">
        <v>400000</v>
      </c>
      <c r="H104" s="10">
        <v>200000</v>
      </c>
      <c r="I104" s="2">
        <f t="shared" si="61"/>
        <v>46154</v>
      </c>
      <c r="J104" s="1">
        <f t="shared" ca="1" si="62"/>
        <v>5</v>
      </c>
      <c r="K104" s="3" t="str">
        <f t="shared" ca="1" si="63"/>
        <v>VIGENTE</v>
      </c>
      <c r="L104" s="1">
        <f t="shared" si="64"/>
        <v>4</v>
      </c>
      <c r="M104" s="1">
        <f t="shared" si="65"/>
        <v>4</v>
      </c>
    </row>
    <row r="105" spans="1:13" x14ac:dyDescent="0.25">
      <c r="A105" s="1" t="s">
        <v>251</v>
      </c>
      <c r="B105" s="2">
        <v>46081</v>
      </c>
      <c r="C105" s="1" t="s">
        <v>13</v>
      </c>
      <c r="D105" s="1">
        <v>7</v>
      </c>
      <c r="E105" s="7">
        <v>29000</v>
      </c>
      <c r="F105" s="18">
        <f t="shared" si="60"/>
        <v>261000</v>
      </c>
      <c r="G105" s="7">
        <v>522000</v>
      </c>
      <c r="H105" s="10">
        <v>261000</v>
      </c>
      <c r="I105" s="2">
        <f t="shared" si="61"/>
        <v>46151</v>
      </c>
      <c r="J105" s="1">
        <f t="shared" ca="1" si="62"/>
        <v>2</v>
      </c>
      <c r="K105" s="3" t="str">
        <f t="shared" ca="1" si="63"/>
        <v>VIGENTE</v>
      </c>
      <c r="L105" s="1">
        <f t="shared" si="64"/>
        <v>9</v>
      </c>
      <c r="M105" s="1">
        <f t="shared" si="65"/>
        <v>9</v>
      </c>
    </row>
    <row r="106" spans="1:13" x14ac:dyDescent="0.25">
      <c r="A106" s="1" t="s">
        <v>252</v>
      </c>
      <c r="B106" s="2">
        <v>46081</v>
      </c>
      <c r="C106" s="1" t="s">
        <v>13</v>
      </c>
      <c r="D106" s="1">
        <v>7</v>
      </c>
      <c r="E106" s="7">
        <v>28000</v>
      </c>
      <c r="F106" s="18">
        <f t="shared" si="60"/>
        <v>168000</v>
      </c>
      <c r="G106" s="7">
        <v>448000</v>
      </c>
      <c r="H106" s="10">
        <v>280000</v>
      </c>
      <c r="I106" s="2">
        <f t="shared" si="61"/>
        <v>46158</v>
      </c>
      <c r="J106" s="1">
        <f t="shared" ca="1" si="62"/>
        <v>9</v>
      </c>
      <c r="K106" s="3" t="str">
        <f t="shared" ca="1" si="63"/>
        <v>VIGENTE</v>
      </c>
      <c r="L106" s="1">
        <f t="shared" si="64"/>
        <v>10</v>
      </c>
      <c r="M106" s="1">
        <f t="shared" si="65"/>
        <v>6</v>
      </c>
    </row>
    <row r="107" spans="1:13" x14ac:dyDescent="0.25">
      <c r="A107" s="1" t="s">
        <v>258</v>
      </c>
      <c r="B107" s="2">
        <v>46083</v>
      </c>
      <c r="C107" s="1"/>
      <c r="D107" s="1">
        <v>7</v>
      </c>
      <c r="E107" s="7">
        <v>20000</v>
      </c>
      <c r="F107" s="18">
        <f t="shared" si="60"/>
        <v>60000</v>
      </c>
      <c r="G107" s="7">
        <v>240000</v>
      </c>
      <c r="H107" s="10">
        <v>180000</v>
      </c>
      <c r="I107" s="2">
        <f t="shared" si="61"/>
        <v>46146</v>
      </c>
      <c r="J107" s="1">
        <f t="shared" ca="1" si="62"/>
        <v>-3</v>
      </c>
      <c r="K107" s="3" t="str">
        <f t="shared" ca="1" si="63"/>
        <v>VENCIDO</v>
      </c>
      <c r="L107" s="1">
        <f t="shared" si="64"/>
        <v>9</v>
      </c>
      <c r="M107" s="1">
        <f t="shared" si="65"/>
        <v>3</v>
      </c>
    </row>
    <row r="108" spans="1:13" x14ac:dyDescent="0.25">
      <c r="A108" s="1" t="s">
        <v>259</v>
      </c>
      <c r="B108" s="2">
        <v>46083</v>
      </c>
      <c r="C108" s="1"/>
      <c r="D108" s="1">
        <v>7</v>
      </c>
      <c r="E108" s="7">
        <v>25000</v>
      </c>
      <c r="F108" s="18">
        <f t="shared" si="60"/>
        <v>150000</v>
      </c>
      <c r="G108" s="7">
        <v>400000</v>
      </c>
      <c r="H108" s="10">
        <v>250000</v>
      </c>
      <c r="I108" s="2">
        <f t="shared" si="61"/>
        <v>46153</v>
      </c>
      <c r="J108" s="1">
        <f t="shared" ca="1" si="62"/>
        <v>4</v>
      </c>
      <c r="K108" s="3" t="str">
        <f t="shared" ca="1" si="63"/>
        <v>VIGENTE</v>
      </c>
      <c r="L108" s="1">
        <f t="shared" si="64"/>
        <v>10</v>
      </c>
      <c r="M108" s="1">
        <f t="shared" si="65"/>
        <v>6</v>
      </c>
    </row>
    <row r="109" spans="1:13" x14ac:dyDescent="0.25">
      <c r="A109" s="1" t="s">
        <v>262</v>
      </c>
      <c r="B109" s="2">
        <v>46084</v>
      </c>
      <c r="C109" s="1"/>
      <c r="D109" s="1">
        <v>7</v>
      </c>
      <c r="E109" s="7">
        <v>28000</v>
      </c>
      <c r="F109" s="18">
        <f t="shared" si="60"/>
        <v>224000</v>
      </c>
      <c r="G109" s="7">
        <v>448000</v>
      </c>
      <c r="H109" s="10">
        <v>224000</v>
      </c>
      <c r="I109" s="2">
        <f t="shared" si="61"/>
        <v>46140</v>
      </c>
      <c r="J109" s="1">
        <f t="shared" ca="1" si="62"/>
        <v>-9</v>
      </c>
      <c r="K109" s="3" t="str">
        <f t="shared" ca="1" si="63"/>
        <v>VENCIDO</v>
      </c>
      <c r="L109" s="1">
        <f t="shared" si="64"/>
        <v>8</v>
      </c>
      <c r="M109" s="1">
        <f t="shared" si="65"/>
        <v>8</v>
      </c>
    </row>
    <row r="110" spans="1:13" x14ac:dyDescent="0.25">
      <c r="A110" s="1" t="s">
        <v>263</v>
      </c>
      <c r="B110" s="2">
        <v>46084</v>
      </c>
      <c r="C110" s="1"/>
      <c r="D110" s="1">
        <v>7</v>
      </c>
      <c r="E110" s="7">
        <v>16000</v>
      </c>
      <c r="F110" s="18">
        <f t="shared" si="60"/>
        <v>16000</v>
      </c>
      <c r="G110" s="7">
        <v>160000</v>
      </c>
      <c r="H110" s="10">
        <v>144000</v>
      </c>
      <c r="I110" s="2">
        <f t="shared" si="61"/>
        <v>46147</v>
      </c>
      <c r="J110" s="1">
        <f t="shared" ca="1" si="62"/>
        <v>-2</v>
      </c>
      <c r="K110" s="3" t="str">
        <f t="shared" ca="1" si="63"/>
        <v>VENCIDO</v>
      </c>
      <c r="L110" s="1">
        <f t="shared" si="64"/>
        <v>9</v>
      </c>
      <c r="M110" s="1">
        <f t="shared" si="65"/>
        <v>1</v>
      </c>
    </row>
    <row r="111" spans="1:13" x14ac:dyDescent="0.25">
      <c r="A111" s="1" t="s">
        <v>266</v>
      </c>
      <c r="B111" s="2">
        <v>46077</v>
      </c>
      <c r="C111" s="1"/>
      <c r="D111" s="1">
        <v>7</v>
      </c>
      <c r="E111" s="7">
        <v>25000</v>
      </c>
      <c r="F111" s="18">
        <f t="shared" si="60"/>
        <v>145000</v>
      </c>
      <c r="G111" s="7">
        <v>425000</v>
      </c>
      <c r="H111" s="10">
        <v>280000</v>
      </c>
      <c r="I111" s="2">
        <f t="shared" si="61"/>
        <v>46154</v>
      </c>
      <c r="J111" s="1">
        <f t="shared" ca="1" si="62"/>
        <v>5</v>
      </c>
      <c r="K111" s="3" t="str">
        <f t="shared" ca="1" si="63"/>
        <v>VIGENTE</v>
      </c>
      <c r="L111" s="1">
        <f t="shared" si="64"/>
        <v>11</v>
      </c>
      <c r="M111" s="1">
        <f t="shared" si="65"/>
        <v>6</v>
      </c>
    </row>
    <row r="112" spans="1:13" x14ac:dyDescent="0.25">
      <c r="A112" s="1" t="s">
        <v>267</v>
      </c>
      <c r="B112" s="2">
        <v>46084</v>
      </c>
      <c r="C112" s="1"/>
      <c r="D112" s="1">
        <v>7</v>
      </c>
      <c r="E112" s="7">
        <v>30000</v>
      </c>
      <c r="F112" s="18">
        <f t="shared" si="60"/>
        <v>60000</v>
      </c>
      <c r="G112" s="7">
        <v>360000</v>
      </c>
      <c r="H112" s="10">
        <v>300000</v>
      </c>
      <c r="I112" s="2">
        <f t="shared" si="61"/>
        <v>46154</v>
      </c>
      <c r="J112" s="1">
        <f t="shared" ca="1" si="62"/>
        <v>5</v>
      </c>
      <c r="K112" s="3" t="str">
        <f t="shared" ca="1" si="63"/>
        <v>VIGENTE</v>
      </c>
      <c r="L112" s="1">
        <f t="shared" si="64"/>
        <v>10</v>
      </c>
      <c r="M112" s="1">
        <f t="shared" si="65"/>
        <v>2</v>
      </c>
    </row>
    <row r="113" spans="1:13" x14ac:dyDescent="0.25">
      <c r="A113" s="1" t="s">
        <v>269</v>
      </c>
      <c r="B113" s="2">
        <v>46084</v>
      </c>
      <c r="C113" s="1"/>
      <c r="D113" s="1">
        <v>7</v>
      </c>
      <c r="E113" s="7">
        <v>28000</v>
      </c>
      <c r="F113" s="18">
        <f t="shared" si="60"/>
        <v>28000</v>
      </c>
      <c r="G113" s="7">
        <v>336000</v>
      </c>
      <c r="H113" s="10">
        <v>308000</v>
      </c>
      <c r="I113" s="2">
        <f t="shared" si="61"/>
        <v>46161</v>
      </c>
      <c r="J113" s="1">
        <f t="shared" ca="1" si="62"/>
        <v>12</v>
      </c>
      <c r="K113" s="3" t="str">
        <f t="shared" ca="1" si="63"/>
        <v>VIGENTE</v>
      </c>
      <c r="L113" s="1">
        <f t="shared" si="64"/>
        <v>11</v>
      </c>
      <c r="M113" s="1">
        <f t="shared" si="65"/>
        <v>1</v>
      </c>
    </row>
    <row r="114" spans="1:13" x14ac:dyDescent="0.25">
      <c r="A114" s="1" t="s">
        <v>274</v>
      </c>
      <c r="B114" s="2">
        <v>46077</v>
      </c>
      <c r="C114" s="1" t="s">
        <v>13</v>
      </c>
      <c r="D114" s="1">
        <v>7</v>
      </c>
      <c r="E114" s="7">
        <v>57000</v>
      </c>
      <c r="F114" s="18">
        <f t="shared" ref="F114:F126" si="66">G114-H114</f>
        <v>57000</v>
      </c>
      <c r="G114" s="7">
        <v>570000</v>
      </c>
      <c r="H114" s="10">
        <v>513000</v>
      </c>
      <c r="I114" s="2">
        <f t="shared" ref="I114:I126" si="67">IF(F114=0,"",IF(C114="CRED",B114+(INT((G114-F114)/E114)+1)*D114,B114+INT((G114-F114)/E114)*D114))</f>
        <v>46147</v>
      </c>
      <c r="J114" s="1">
        <f t="shared" ref="J114:J126" ca="1" si="68">IF(I114="","",I114-TODAY())</f>
        <v>-2</v>
      </c>
      <c r="K114" s="3" t="str">
        <f t="shared" ref="K114:K126" ca="1" si="69">IF(J114="","",IF(J114&lt;0,"VENCIDO",IF(J114&lt;=1,"PRÓXIMO","VIGENTE")))</f>
        <v>VENCIDO</v>
      </c>
      <c r="L114" s="1">
        <f t="shared" ref="L114:L126" si="70">IF(F114=G114,0,INT((G114-F114)/E114))</f>
        <v>9</v>
      </c>
      <c r="M114" s="1">
        <f t="shared" ref="M114:M126" si="71">IF(F114=0,0,INT(F114/E114)+(IF(MOD(F114,E114)&gt;0,1,0)))</f>
        <v>1</v>
      </c>
    </row>
    <row r="115" spans="1:13" x14ac:dyDescent="0.25">
      <c r="A115" s="1" t="s">
        <v>275</v>
      </c>
      <c r="B115" s="2">
        <v>46085</v>
      </c>
      <c r="C115" s="1"/>
      <c r="D115" s="1">
        <v>7</v>
      </c>
      <c r="E115" s="7">
        <v>35000</v>
      </c>
      <c r="F115" s="18">
        <f t="shared" si="66"/>
        <v>595000</v>
      </c>
      <c r="G115" s="7">
        <v>875000</v>
      </c>
      <c r="H115" s="10">
        <v>280000</v>
      </c>
      <c r="I115" s="2">
        <f t="shared" si="67"/>
        <v>46141</v>
      </c>
      <c r="J115" s="1">
        <f t="shared" ca="1" si="68"/>
        <v>-8</v>
      </c>
      <c r="K115" s="3" t="str">
        <f t="shared" ca="1" si="69"/>
        <v>VENCIDO</v>
      </c>
      <c r="L115" s="1">
        <f t="shared" si="70"/>
        <v>8</v>
      </c>
      <c r="M115" s="1">
        <f t="shared" si="71"/>
        <v>17</v>
      </c>
    </row>
    <row r="116" spans="1:13" x14ac:dyDescent="0.25">
      <c r="A116" s="1" t="s">
        <v>297</v>
      </c>
      <c r="B116" s="2">
        <v>46087</v>
      </c>
      <c r="C116" s="1" t="s">
        <v>13</v>
      </c>
      <c r="D116" s="1">
        <v>7</v>
      </c>
      <c r="E116" s="7">
        <v>9500</v>
      </c>
      <c r="F116" s="18">
        <f t="shared" si="66"/>
        <v>9500</v>
      </c>
      <c r="G116" s="7">
        <v>76000</v>
      </c>
      <c r="H116" s="10">
        <v>66500</v>
      </c>
      <c r="I116" s="2">
        <f t="shared" si="67"/>
        <v>46143</v>
      </c>
      <c r="J116" s="1">
        <f t="shared" ca="1" si="68"/>
        <v>-6</v>
      </c>
      <c r="K116" s="3" t="str">
        <f t="shared" ca="1" si="69"/>
        <v>VENCIDO</v>
      </c>
      <c r="L116" s="1">
        <f t="shared" si="70"/>
        <v>7</v>
      </c>
      <c r="M116" s="1">
        <f t="shared" si="71"/>
        <v>1</v>
      </c>
    </row>
    <row r="117" spans="1:13" x14ac:dyDescent="0.25">
      <c r="A117" s="1" t="s">
        <v>281</v>
      </c>
      <c r="B117" s="2">
        <v>46088</v>
      </c>
      <c r="C117" s="1" t="s">
        <v>13</v>
      </c>
      <c r="D117" s="1">
        <v>7</v>
      </c>
      <c r="E117" s="7">
        <v>23500</v>
      </c>
      <c r="F117" s="18">
        <f t="shared" si="66"/>
        <v>160000</v>
      </c>
      <c r="G117" s="7">
        <v>376000</v>
      </c>
      <c r="H117" s="10">
        <v>216000</v>
      </c>
      <c r="I117" s="2">
        <f t="shared" si="67"/>
        <v>46158</v>
      </c>
      <c r="J117" s="1">
        <f t="shared" ca="1" si="68"/>
        <v>9</v>
      </c>
      <c r="K117" s="3" t="str">
        <f t="shared" ca="1" si="69"/>
        <v>VIGENTE</v>
      </c>
      <c r="L117" s="1">
        <f t="shared" si="70"/>
        <v>9</v>
      </c>
      <c r="M117" s="1">
        <f t="shared" si="71"/>
        <v>7</v>
      </c>
    </row>
    <row r="118" spans="1:13" x14ac:dyDescent="0.25">
      <c r="A118" s="1" t="s">
        <v>282</v>
      </c>
      <c r="B118" s="2">
        <v>46088</v>
      </c>
      <c r="C118" s="1"/>
      <c r="D118" s="1">
        <v>7</v>
      </c>
      <c r="E118" s="7">
        <v>24000</v>
      </c>
      <c r="F118" s="18">
        <f t="shared" si="66"/>
        <v>96000</v>
      </c>
      <c r="G118" s="7">
        <v>384000</v>
      </c>
      <c r="H118" s="10">
        <v>288000</v>
      </c>
      <c r="I118" s="2">
        <f t="shared" si="67"/>
        <v>46172</v>
      </c>
      <c r="J118" s="1">
        <f t="shared" ca="1" si="68"/>
        <v>23</v>
      </c>
      <c r="K118" s="3" t="str">
        <f t="shared" ca="1" si="69"/>
        <v>VIGENTE</v>
      </c>
      <c r="L118" s="1">
        <f t="shared" si="70"/>
        <v>12</v>
      </c>
      <c r="M118" s="1">
        <f t="shared" si="71"/>
        <v>4</v>
      </c>
    </row>
    <row r="119" spans="1:13" x14ac:dyDescent="0.25">
      <c r="A119" s="1" t="s">
        <v>283</v>
      </c>
      <c r="B119" s="2">
        <v>46088</v>
      </c>
      <c r="C119" s="1" t="s">
        <v>13</v>
      </c>
      <c r="D119" s="1">
        <v>7</v>
      </c>
      <c r="E119" s="7">
        <v>175000</v>
      </c>
      <c r="F119" s="18">
        <f t="shared" si="66"/>
        <v>35000</v>
      </c>
      <c r="G119" s="7">
        <v>350000</v>
      </c>
      <c r="H119" s="10">
        <v>315000</v>
      </c>
      <c r="I119" s="2">
        <f t="shared" si="67"/>
        <v>46102</v>
      </c>
      <c r="J119" s="1">
        <f t="shared" ca="1" si="68"/>
        <v>-47</v>
      </c>
      <c r="K119" s="3" t="str">
        <f t="shared" ca="1" si="69"/>
        <v>VENCIDO</v>
      </c>
      <c r="L119" s="1">
        <f t="shared" si="70"/>
        <v>1</v>
      </c>
      <c r="M119" s="1">
        <f t="shared" si="71"/>
        <v>1</v>
      </c>
    </row>
    <row r="120" spans="1:13" x14ac:dyDescent="0.25">
      <c r="A120" s="1" t="s">
        <v>294</v>
      </c>
      <c r="B120" s="2">
        <v>46092</v>
      </c>
      <c r="C120" s="1"/>
      <c r="D120" s="1">
        <v>7</v>
      </c>
      <c r="E120" s="7">
        <v>30000</v>
      </c>
      <c r="F120" s="18">
        <f t="shared" si="66"/>
        <v>540000</v>
      </c>
      <c r="G120" s="7">
        <v>690000</v>
      </c>
      <c r="H120" s="10">
        <v>150000</v>
      </c>
      <c r="I120" s="2">
        <f t="shared" si="67"/>
        <v>46127</v>
      </c>
      <c r="J120" s="1">
        <f t="shared" ca="1" si="68"/>
        <v>-22</v>
      </c>
      <c r="K120" s="3" t="str">
        <f t="shared" ca="1" si="69"/>
        <v>VENCIDO</v>
      </c>
      <c r="L120" s="1">
        <f t="shared" si="70"/>
        <v>5</v>
      </c>
      <c r="M120" s="1">
        <f t="shared" si="71"/>
        <v>18</v>
      </c>
    </row>
    <row r="121" spans="1:13" x14ac:dyDescent="0.25">
      <c r="A121" s="1" t="s">
        <v>295</v>
      </c>
      <c r="B121" s="2">
        <v>46092</v>
      </c>
      <c r="C121" s="1"/>
      <c r="D121" s="1">
        <v>7</v>
      </c>
      <c r="E121" s="7">
        <v>30000</v>
      </c>
      <c r="F121" s="18">
        <f t="shared" si="66"/>
        <v>210000</v>
      </c>
      <c r="G121" s="7">
        <v>450000</v>
      </c>
      <c r="H121" s="10">
        <v>240000</v>
      </c>
      <c r="I121" s="2">
        <f t="shared" si="67"/>
        <v>46148</v>
      </c>
      <c r="J121" s="1">
        <f t="shared" ca="1" si="68"/>
        <v>-1</v>
      </c>
      <c r="K121" s="3" t="str">
        <f t="shared" ca="1" si="69"/>
        <v>VENCIDO</v>
      </c>
      <c r="L121" s="1">
        <f t="shared" si="70"/>
        <v>8</v>
      </c>
      <c r="M121" s="1">
        <f t="shared" si="71"/>
        <v>7</v>
      </c>
    </row>
    <row r="122" spans="1:13" x14ac:dyDescent="0.25">
      <c r="A122" s="1" t="s">
        <v>296</v>
      </c>
      <c r="B122" s="2">
        <v>46092</v>
      </c>
      <c r="C122" s="1" t="s">
        <v>13</v>
      </c>
      <c r="D122" s="1">
        <v>7</v>
      </c>
      <c r="E122" s="7">
        <v>24000</v>
      </c>
      <c r="F122" s="18">
        <f t="shared" si="66"/>
        <v>48000</v>
      </c>
      <c r="G122" s="7">
        <v>192000</v>
      </c>
      <c r="H122" s="10">
        <v>144000</v>
      </c>
      <c r="I122" s="2">
        <f t="shared" si="67"/>
        <v>46141</v>
      </c>
      <c r="J122" s="1">
        <f t="shared" ca="1" si="68"/>
        <v>-8</v>
      </c>
      <c r="K122" s="3" t="str">
        <f t="shared" ca="1" si="69"/>
        <v>VENCIDO</v>
      </c>
      <c r="L122" s="1">
        <f t="shared" si="70"/>
        <v>6</v>
      </c>
      <c r="M122" s="1">
        <f t="shared" si="71"/>
        <v>2</v>
      </c>
    </row>
    <row r="123" spans="1:13" x14ac:dyDescent="0.25">
      <c r="A123" s="1" t="s">
        <v>299</v>
      </c>
      <c r="B123" s="2">
        <v>46093</v>
      </c>
      <c r="C123" s="1"/>
      <c r="D123" s="1">
        <v>15</v>
      </c>
      <c r="E123" s="7">
        <v>78000</v>
      </c>
      <c r="F123" s="18">
        <f t="shared" si="66"/>
        <v>320000</v>
      </c>
      <c r="G123" s="7">
        <v>624000</v>
      </c>
      <c r="H123" s="10">
        <v>304000</v>
      </c>
      <c r="I123" s="2">
        <f t="shared" si="67"/>
        <v>46138</v>
      </c>
      <c r="J123" s="1">
        <f t="shared" ca="1" si="68"/>
        <v>-11</v>
      </c>
      <c r="K123" s="3" t="str">
        <f t="shared" ca="1" si="69"/>
        <v>VENCIDO</v>
      </c>
      <c r="L123" s="1">
        <f t="shared" si="70"/>
        <v>3</v>
      </c>
      <c r="M123" s="1">
        <f t="shared" si="71"/>
        <v>5</v>
      </c>
    </row>
    <row r="124" spans="1:13" x14ac:dyDescent="0.25">
      <c r="A124" s="1" t="s">
        <v>303</v>
      </c>
      <c r="B124" s="2">
        <v>46094</v>
      </c>
      <c r="C124" s="1"/>
      <c r="D124" s="1">
        <v>7</v>
      </c>
      <c r="E124" s="7">
        <v>30000</v>
      </c>
      <c r="F124" s="18">
        <f t="shared" si="66"/>
        <v>240000</v>
      </c>
      <c r="G124" s="7">
        <v>480000</v>
      </c>
      <c r="H124" s="10">
        <v>240000</v>
      </c>
      <c r="I124" s="2">
        <f t="shared" si="67"/>
        <v>46150</v>
      </c>
      <c r="J124" s="1">
        <f t="shared" ca="1" si="68"/>
        <v>1</v>
      </c>
      <c r="K124" s="3" t="str">
        <f t="shared" ca="1" si="69"/>
        <v>PRÓXIMO</v>
      </c>
      <c r="L124" s="1">
        <f t="shared" si="70"/>
        <v>8</v>
      </c>
      <c r="M124" s="1">
        <f t="shared" si="71"/>
        <v>8</v>
      </c>
    </row>
    <row r="125" spans="1:13" x14ac:dyDescent="0.25">
      <c r="A125" s="1" t="s">
        <v>301</v>
      </c>
      <c r="B125" s="2">
        <v>46094</v>
      </c>
      <c r="C125" s="1" t="s">
        <v>13</v>
      </c>
      <c r="D125" s="1">
        <v>7</v>
      </c>
      <c r="E125" s="7">
        <v>57000</v>
      </c>
      <c r="F125" s="18">
        <f t="shared" si="66"/>
        <v>171000</v>
      </c>
      <c r="G125" s="7">
        <v>570000</v>
      </c>
      <c r="H125" s="10">
        <v>399000</v>
      </c>
      <c r="I125" s="2">
        <f t="shared" si="67"/>
        <v>46150</v>
      </c>
      <c r="J125" s="1">
        <f t="shared" ca="1" si="68"/>
        <v>1</v>
      </c>
      <c r="K125" s="3" t="str">
        <f t="shared" ca="1" si="69"/>
        <v>PRÓXIMO</v>
      </c>
      <c r="L125" s="1">
        <f t="shared" si="70"/>
        <v>7</v>
      </c>
      <c r="M125" s="1">
        <f t="shared" si="71"/>
        <v>3</v>
      </c>
    </row>
    <row r="126" spans="1:13" x14ac:dyDescent="0.25">
      <c r="A126" s="1" t="s">
        <v>304</v>
      </c>
      <c r="B126" s="2">
        <v>46094</v>
      </c>
      <c r="C126" s="1"/>
      <c r="D126" s="1">
        <v>7</v>
      </c>
      <c r="E126" s="7">
        <v>25000</v>
      </c>
      <c r="F126" s="18">
        <f t="shared" si="66"/>
        <v>175000</v>
      </c>
      <c r="G126" s="7">
        <v>375000</v>
      </c>
      <c r="H126" s="10">
        <v>200000</v>
      </c>
      <c r="I126" s="2">
        <f t="shared" si="67"/>
        <v>46150</v>
      </c>
      <c r="J126" s="1">
        <f t="shared" ca="1" si="68"/>
        <v>1</v>
      </c>
      <c r="K126" s="3" t="str">
        <f t="shared" ca="1" si="69"/>
        <v>PRÓXIMO</v>
      </c>
      <c r="L126" s="1">
        <f t="shared" si="70"/>
        <v>8</v>
      </c>
      <c r="M126" s="1">
        <f t="shared" si="71"/>
        <v>7</v>
      </c>
    </row>
    <row r="127" spans="1:13" x14ac:dyDescent="0.25">
      <c r="A127" s="1" t="s">
        <v>305</v>
      </c>
      <c r="B127" s="2">
        <v>46095</v>
      </c>
      <c r="C127" s="1"/>
      <c r="D127" s="1">
        <v>15</v>
      </c>
      <c r="E127" s="7">
        <v>60000</v>
      </c>
      <c r="F127" s="18">
        <f t="shared" ref="F127:F134" si="72">G127-H127</f>
        <v>300000</v>
      </c>
      <c r="G127" s="7">
        <v>480000</v>
      </c>
      <c r="H127" s="10">
        <v>180000</v>
      </c>
      <c r="I127" s="2">
        <f t="shared" ref="I127:I134" si="73">IF(F127=0,"",IF(C127="CRED",B127+(INT((G127-F127)/E127)+1)*D127,B127+INT((G127-F127)/E127)*D127))</f>
        <v>46140</v>
      </c>
      <c r="J127" s="1">
        <f t="shared" ref="J127:J134" ca="1" si="74">IF(I127="","",I127-TODAY())</f>
        <v>-9</v>
      </c>
      <c r="K127" s="3" t="str">
        <f t="shared" ref="K127:K134" ca="1" si="75">IF(J127="","",IF(J127&lt;0,"VENCIDO",IF(J127&lt;=1,"PRÓXIMO","VIGENTE")))</f>
        <v>VENCIDO</v>
      </c>
      <c r="L127" s="1">
        <f t="shared" ref="L127:L134" si="76">IF(F127=G127,0,INT((G127-F127)/E127))</f>
        <v>3</v>
      </c>
      <c r="M127" s="1">
        <f t="shared" ref="M127:M134" si="77">IF(F127=0,0,INT(F127/E127)+(IF(MOD(F127,E127)&gt;0,1,0)))</f>
        <v>5</v>
      </c>
    </row>
    <row r="128" spans="1:13" x14ac:dyDescent="0.25">
      <c r="A128" s="1" t="s">
        <v>306</v>
      </c>
      <c r="B128" s="2">
        <v>46095</v>
      </c>
      <c r="C128" s="1"/>
      <c r="D128" s="1">
        <v>7</v>
      </c>
      <c r="E128" s="7">
        <v>28000</v>
      </c>
      <c r="F128" s="18">
        <f t="shared" si="72"/>
        <v>280000</v>
      </c>
      <c r="G128" s="7">
        <v>448000</v>
      </c>
      <c r="H128" s="10">
        <v>168000</v>
      </c>
      <c r="I128" s="2">
        <f t="shared" si="73"/>
        <v>46137</v>
      </c>
      <c r="J128" s="1">
        <f t="shared" ca="1" si="74"/>
        <v>-12</v>
      </c>
      <c r="K128" s="3" t="str">
        <f t="shared" ca="1" si="75"/>
        <v>VENCIDO</v>
      </c>
      <c r="L128" s="1">
        <f t="shared" si="76"/>
        <v>6</v>
      </c>
      <c r="M128" s="1">
        <f t="shared" si="77"/>
        <v>10</v>
      </c>
    </row>
    <row r="129" spans="1:13" x14ac:dyDescent="0.25">
      <c r="A129" s="1" t="s">
        <v>312</v>
      </c>
      <c r="B129" s="2">
        <v>46095</v>
      </c>
      <c r="C129" s="1"/>
      <c r="D129" s="1">
        <v>7</v>
      </c>
      <c r="E129" s="7">
        <v>28000</v>
      </c>
      <c r="F129" s="18">
        <f t="shared" si="72"/>
        <v>252000</v>
      </c>
      <c r="G129" s="7">
        <v>448000</v>
      </c>
      <c r="H129" s="10">
        <v>196000</v>
      </c>
      <c r="I129" s="2">
        <f t="shared" si="73"/>
        <v>46144</v>
      </c>
      <c r="J129" s="1">
        <f t="shared" ca="1" si="74"/>
        <v>-5</v>
      </c>
      <c r="K129" s="3" t="str">
        <f t="shared" ca="1" si="75"/>
        <v>VENCIDO</v>
      </c>
      <c r="L129" s="1">
        <f t="shared" si="76"/>
        <v>7</v>
      </c>
      <c r="M129" s="1">
        <f t="shared" si="77"/>
        <v>9</v>
      </c>
    </row>
    <row r="130" spans="1:13" x14ac:dyDescent="0.25">
      <c r="A130" s="1" t="s">
        <v>307</v>
      </c>
      <c r="B130" s="2">
        <v>46095</v>
      </c>
      <c r="C130" s="1"/>
      <c r="D130" s="1">
        <v>7</v>
      </c>
      <c r="E130" s="7">
        <v>25000</v>
      </c>
      <c r="F130" s="18">
        <f t="shared" si="72"/>
        <v>250000</v>
      </c>
      <c r="G130" s="7">
        <v>425000</v>
      </c>
      <c r="H130" s="10">
        <v>175000</v>
      </c>
      <c r="I130" s="2">
        <f t="shared" si="73"/>
        <v>46144</v>
      </c>
      <c r="J130" s="1">
        <f t="shared" ca="1" si="74"/>
        <v>-5</v>
      </c>
      <c r="K130" s="3" t="str">
        <f t="shared" ca="1" si="75"/>
        <v>VENCIDO</v>
      </c>
      <c r="L130" s="1">
        <f t="shared" si="76"/>
        <v>7</v>
      </c>
      <c r="M130" s="1">
        <f t="shared" si="77"/>
        <v>10</v>
      </c>
    </row>
    <row r="131" spans="1:13" x14ac:dyDescent="0.25">
      <c r="A131" s="1" t="s">
        <v>310</v>
      </c>
      <c r="B131" s="2">
        <v>46097</v>
      </c>
      <c r="C131" s="1"/>
      <c r="D131" s="1">
        <v>7</v>
      </c>
      <c r="E131" s="7">
        <v>18500</v>
      </c>
      <c r="F131" s="18">
        <f t="shared" si="72"/>
        <v>91000</v>
      </c>
      <c r="G131" s="7">
        <v>222000</v>
      </c>
      <c r="H131" s="10">
        <v>131000</v>
      </c>
      <c r="I131" s="2">
        <f t="shared" si="73"/>
        <v>46146</v>
      </c>
      <c r="J131" s="1">
        <f t="shared" ca="1" si="74"/>
        <v>-3</v>
      </c>
      <c r="K131" s="3" t="str">
        <f t="shared" ca="1" si="75"/>
        <v>VENCIDO</v>
      </c>
      <c r="L131" s="1">
        <f t="shared" si="76"/>
        <v>7</v>
      </c>
      <c r="M131" s="1">
        <f t="shared" si="77"/>
        <v>5</v>
      </c>
    </row>
    <row r="132" spans="1:13" x14ac:dyDescent="0.25">
      <c r="A132" s="1" t="s">
        <v>311</v>
      </c>
      <c r="B132" s="2">
        <v>46097</v>
      </c>
      <c r="C132" s="1"/>
      <c r="D132" s="1">
        <v>7</v>
      </c>
      <c r="E132" s="7">
        <v>16000</v>
      </c>
      <c r="F132" s="18">
        <f t="shared" si="72"/>
        <v>32000</v>
      </c>
      <c r="G132" s="7">
        <v>160000</v>
      </c>
      <c r="H132" s="10">
        <v>128000</v>
      </c>
      <c r="I132" s="2">
        <f t="shared" si="73"/>
        <v>46153</v>
      </c>
      <c r="J132" s="1">
        <f t="shared" ca="1" si="74"/>
        <v>4</v>
      </c>
      <c r="K132" s="3" t="str">
        <f t="shared" ca="1" si="75"/>
        <v>VIGENTE</v>
      </c>
      <c r="L132" s="1">
        <f t="shared" si="76"/>
        <v>8</v>
      </c>
      <c r="M132" s="1">
        <f t="shared" si="77"/>
        <v>2</v>
      </c>
    </row>
    <row r="133" spans="1:13" x14ac:dyDescent="0.25">
      <c r="A133" s="1" t="s">
        <v>314</v>
      </c>
      <c r="B133" s="2">
        <v>45986</v>
      </c>
      <c r="C133" s="1"/>
      <c r="D133" s="1">
        <v>7</v>
      </c>
      <c r="E133" s="7">
        <v>47000</v>
      </c>
      <c r="F133" s="18">
        <f t="shared" si="72"/>
        <v>329000</v>
      </c>
      <c r="G133" s="7">
        <v>1410000</v>
      </c>
      <c r="H133" s="10">
        <v>1081000</v>
      </c>
      <c r="I133" s="2">
        <f t="shared" si="73"/>
        <v>46147</v>
      </c>
      <c r="J133" s="1">
        <f t="shared" ca="1" si="74"/>
        <v>-2</v>
      </c>
      <c r="K133" s="3" t="str">
        <f t="shared" ca="1" si="75"/>
        <v>VENCIDO</v>
      </c>
      <c r="L133" s="1">
        <f t="shared" si="76"/>
        <v>23</v>
      </c>
      <c r="M133" s="1">
        <f t="shared" si="77"/>
        <v>7</v>
      </c>
    </row>
    <row r="134" spans="1:13" x14ac:dyDescent="0.25">
      <c r="A134" s="1" t="s">
        <v>318</v>
      </c>
      <c r="B134" s="2">
        <v>46098</v>
      </c>
      <c r="C134" s="1" t="s">
        <v>13</v>
      </c>
      <c r="D134" s="1">
        <v>7</v>
      </c>
      <c r="E134" s="7">
        <v>24000</v>
      </c>
      <c r="F134" s="18">
        <f t="shared" si="72"/>
        <v>24000</v>
      </c>
      <c r="G134" s="7">
        <v>192000</v>
      </c>
      <c r="H134" s="10">
        <v>168000</v>
      </c>
      <c r="I134" s="2">
        <f t="shared" si="73"/>
        <v>46154</v>
      </c>
      <c r="J134" s="1">
        <f t="shared" ca="1" si="74"/>
        <v>5</v>
      </c>
      <c r="K134" s="3" t="str">
        <f t="shared" ca="1" si="75"/>
        <v>VIGENTE</v>
      </c>
      <c r="L134" s="1">
        <f t="shared" si="76"/>
        <v>7</v>
      </c>
      <c r="M134" s="1">
        <f t="shared" si="77"/>
        <v>1</v>
      </c>
    </row>
    <row r="135" spans="1:13" x14ac:dyDescent="0.25">
      <c r="A135" s="1" t="s">
        <v>320</v>
      </c>
      <c r="B135" s="2">
        <v>46098</v>
      </c>
      <c r="C135" s="1" t="s">
        <v>13</v>
      </c>
      <c r="D135" s="1">
        <v>7</v>
      </c>
      <c r="E135" s="7">
        <v>30000</v>
      </c>
      <c r="F135" s="18">
        <f t="shared" ref="F135:F188" si="78">G135-H135</f>
        <v>390000</v>
      </c>
      <c r="G135" s="7">
        <v>510000</v>
      </c>
      <c r="H135" s="10">
        <v>120000</v>
      </c>
      <c r="I135" s="2">
        <f t="shared" ref="I135:I188" si="79">IF(F135=0,"",IF(C135="CRED",B135+(INT((G135-F135)/E135)+1)*D135,B135+INT((G135-F135)/E135)*D135))</f>
        <v>46133</v>
      </c>
      <c r="J135" s="1">
        <f t="shared" ref="J135:J188" ca="1" si="80">IF(I135="","",I135-TODAY())</f>
        <v>-16</v>
      </c>
      <c r="K135" s="3" t="str">
        <f t="shared" ref="K135:K188" ca="1" si="81">IF(J135="","",IF(J135&lt;0,"VENCIDO",IF(J135&lt;=1,"PRÓXIMO","VIGENTE")))</f>
        <v>VENCIDO</v>
      </c>
      <c r="L135" s="1">
        <f t="shared" ref="L135:L188" si="82">IF(F135=G135,0,INT((G135-F135)/E135))</f>
        <v>4</v>
      </c>
      <c r="M135" s="1">
        <f t="shared" ref="M135:M188" si="83">IF(F135=0,0,INT(F135/E135)+(IF(MOD(F135,E135)&gt;0,1,0)))</f>
        <v>13</v>
      </c>
    </row>
    <row r="136" spans="1:13" x14ac:dyDescent="0.25">
      <c r="A136" s="1" t="s">
        <v>321</v>
      </c>
      <c r="B136" s="2">
        <v>46098</v>
      </c>
      <c r="C136" s="1" t="s">
        <v>13</v>
      </c>
      <c r="D136" s="1">
        <v>7</v>
      </c>
      <c r="E136" s="7">
        <v>60000</v>
      </c>
      <c r="F136" s="18">
        <f t="shared" si="78"/>
        <v>60000</v>
      </c>
      <c r="G136" s="7">
        <v>300000</v>
      </c>
      <c r="H136" s="10">
        <v>240000</v>
      </c>
      <c r="I136" s="2">
        <f t="shared" si="79"/>
        <v>46133</v>
      </c>
      <c r="J136" s="1">
        <f t="shared" ca="1" si="80"/>
        <v>-16</v>
      </c>
      <c r="K136" s="3" t="str">
        <f t="shared" ca="1" si="81"/>
        <v>VENCIDO</v>
      </c>
      <c r="L136" s="1">
        <f t="shared" si="82"/>
        <v>4</v>
      </c>
      <c r="M136" s="1">
        <f t="shared" si="83"/>
        <v>1</v>
      </c>
    </row>
    <row r="137" spans="1:13" x14ac:dyDescent="0.25">
      <c r="A137" s="1" t="s">
        <v>323</v>
      </c>
      <c r="B137" s="2">
        <v>46098</v>
      </c>
      <c r="C137" s="1"/>
      <c r="D137" s="1">
        <v>7</v>
      </c>
      <c r="E137" s="7">
        <v>55000</v>
      </c>
      <c r="F137" s="18">
        <f t="shared" si="78"/>
        <v>1485000</v>
      </c>
      <c r="G137" s="7">
        <v>1815000</v>
      </c>
      <c r="H137" s="10">
        <v>330000</v>
      </c>
      <c r="I137" s="2">
        <f t="shared" si="79"/>
        <v>46140</v>
      </c>
      <c r="J137" s="1">
        <f t="shared" ca="1" si="80"/>
        <v>-9</v>
      </c>
      <c r="K137" s="3" t="str">
        <f t="shared" ca="1" si="81"/>
        <v>VENCIDO</v>
      </c>
      <c r="L137" s="1">
        <f t="shared" si="82"/>
        <v>6</v>
      </c>
      <c r="M137" s="1">
        <f t="shared" si="83"/>
        <v>27</v>
      </c>
    </row>
    <row r="138" spans="1:13" x14ac:dyDescent="0.25">
      <c r="A138" s="1" t="s">
        <v>324</v>
      </c>
      <c r="B138" s="2">
        <v>46099</v>
      </c>
      <c r="C138" s="1"/>
      <c r="D138" s="1">
        <v>7</v>
      </c>
      <c r="E138" s="7">
        <v>34000</v>
      </c>
      <c r="F138" s="18">
        <f t="shared" si="78"/>
        <v>136000</v>
      </c>
      <c r="G138" s="7">
        <v>272000</v>
      </c>
      <c r="H138" s="10">
        <v>136000</v>
      </c>
      <c r="I138" s="2">
        <f t="shared" si="79"/>
        <v>46127</v>
      </c>
      <c r="J138" s="1">
        <f t="shared" ca="1" si="80"/>
        <v>-22</v>
      </c>
      <c r="K138" s="3" t="str">
        <f t="shared" ca="1" si="81"/>
        <v>VENCIDO</v>
      </c>
      <c r="L138" s="1">
        <f t="shared" si="82"/>
        <v>4</v>
      </c>
      <c r="M138" s="1">
        <f t="shared" si="83"/>
        <v>4</v>
      </c>
    </row>
    <row r="139" spans="1:13" x14ac:dyDescent="0.25">
      <c r="A139" s="1" t="s">
        <v>325</v>
      </c>
      <c r="B139" s="2">
        <v>46099</v>
      </c>
      <c r="C139" s="1"/>
      <c r="D139" s="1">
        <v>7</v>
      </c>
      <c r="E139" s="7">
        <v>28000</v>
      </c>
      <c r="F139" s="18">
        <f t="shared" si="78"/>
        <v>224000</v>
      </c>
      <c r="G139" s="7">
        <v>448000</v>
      </c>
      <c r="H139" s="10">
        <v>224000</v>
      </c>
      <c r="I139" s="2">
        <f t="shared" si="79"/>
        <v>46155</v>
      </c>
      <c r="J139" s="1">
        <f t="shared" ca="1" si="80"/>
        <v>6</v>
      </c>
      <c r="K139" s="3" t="str">
        <f t="shared" ca="1" si="81"/>
        <v>VIGENTE</v>
      </c>
      <c r="L139" s="1">
        <f t="shared" si="82"/>
        <v>8</v>
      </c>
      <c r="M139" s="1">
        <f t="shared" si="83"/>
        <v>8</v>
      </c>
    </row>
    <row r="140" spans="1:13" x14ac:dyDescent="0.25">
      <c r="A140" s="1" t="s">
        <v>326</v>
      </c>
      <c r="B140" s="2">
        <v>46099</v>
      </c>
      <c r="C140" s="1"/>
      <c r="D140" s="1">
        <v>7</v>
      </c>
      <c r="E140" s="7">
        <v>25000</v>
      </c>
      <c r="F140" s="18">
        <f t="shared" si="78"/>
        <v>250000</v>
      </c>
      <c r="G140" s="7">
        <v>425000</v>
      </c>
      <c r="H140" s="10">
        <v>175000</v>
      </c>
      <c r="I140" s="2">
        <f t="shared" si="79"/>
        <v>46148</v>
      </c>
      <c r="J140" s="1">
        <f t="shared" ca="1" si="80"/>
        <v>-1</v>
      </c>
      <c r="K140" s="3" t="str">
        <f t="shared" ca="1" si="81"/>
        <v>VENCIDO</v>
      </c>
      <c r="L140" s="1">
        <f t="shared" si="82"/>
        <v>7</v>
      </c>
      <c r="M140" s="1">
        <f t="shared" si="83"/>
        <v>10</v>
      </c>
    </row>
    <row r="141" spans="1:13" x14ac:dyDescent="0.25">
      <c r="A141" s="1" t="s">
        <v>331</v>
      </c>
      <c r="B141" s="2">
        <v>46100</v>
      </c>
      <c r="C141" s="1" t="s">
        <v>13</v>
      </c>
      <c r="D141" s="1">
        <v>7</v>
      </c>
      <c r="E141" s="7">
        <v>38000</v>
      </c>
      <c r="F141" s="18">
        <f t="shared" si="78"/>
        <v>190000</v>
      </c>
      <c r="G141" s="7">
        <v>380000</v>
      </c>
      <c r="H141" s="10">
        <v>190000</v>
      </c>
      <c r="I141" s="2">
        <f t="shared" si="79"/>
        <v>46142</v>
      </c>
      <c r="J141" s="1">
        <f t="shared" ca="1" si="80"/>
        <v>-7</v>
      </c>
      <c r="K141" s="3" t="str">
        <f t="shared" ca="1" si="81"/>
        <v>VENCIDO</v>
      </c>
      <c r="L141" s="1">
        <f t="shared" si="82"/>
        <v>5</v>
      </c>
      <c r="M141" s="1">
        <f t="shared" si="83"/>
        <v>5</v>
      </c>
    </row>
    <row r="142" spans="1:13" x14ac:dyDescent="0.25">
      <c r="A142" s="1" t="s">
        <v>336</v>
      </c>
      <c r="B142" s="2">
        <v>46101</v>
      </c>
      <c r="C142" s="1" t="s">
        <v>13</v>
      </c>
      <c r="D142" s="1">
        <v>7</v>
      </c>
      <c r="E142" s="7">
        <v>36000</v>
      </c>
      <c r="F142" s="18">
        <f t="shared" si="78"/>
        <v>108000</v>
      </c>
      <c r="G142" s="7">
        <v>288000</v>
      </c>
      <c r="H142" s="10">
        <v>180000</v>
      </c>
      <c r="I142" s="2">
        <f t="shared" si="79"/>
        <v>46143</v>
      </c>
      <c r="J142" s="1">
        <f t="shared" ca="1" si="80"/>
        <v>-6</v>
      </c>
      <c r="K142" s="3" t="str">
        <f t="shared" ca="1" si="81"/>
        <v>VENCIDO</v>
      </c>
      <c r="L142" s="1">
        <f t="shared" si="82"/>
        <v>5</v>
      </c>
      <c r="M142" s="1">
        <f t="shared" si="83"/>
        <v>3</v>
      </c>
    </row>
    <row r="143" spans="1:13" x14ac:dyDescent="0.25">
      <c r="A143" s="1" t="s">
        <v>341</v>
      </c>
      <c r="B143" s="2">
        <v>46102</v>
      </c>
      <c r="C143" s="1" t="s">
        <v>13</v>
      </c>
      <c r="D143" s="1">
        <v>7</v>
      </c>
      <c r="E143" s="7">
        <v>36000</v>
      </c>
      <c r="F143" s="18">
        <f t="shared" si="78"/>
        <v>68000</v>
      </c>
      <c r="G143" s="7">
        <v>288000</v>
      </c>
      <c r="H143" s="10">
        <v>220000</v>
      </c>
      <c r="I143" s="2">
        <f t="shared" si="79"/>
        <v>46151</v>
      </c>
      <c r="J143" s="1">
        <f t="shared" ca="1" si="80"/>
        <v>2</v>
      </c>
      <c r="K143" s="3" t="str">
        <f t="shared" ca="1" si="81"/>
        <v>VIGENTE</v>
      </c>
      <c r="L143" s="1">
        <f t="shared" si="82"/>
        <v>6</v>
      </c>
      <c r="M143" s="1">
        <f t="shared" si="83"/>
        <v>2</v>
      </c>
    </row>
    <row r="144" spans="1:13" x14ac:dyDescent="0.25">
      <c r="A144" s="1" t="s">
        <v>343</v>
      </c>
      <c r="B144" s="2">
        <v>46104</v>
      </c>
      <c r="C144" s="1"/>
      <c r="D144" s="1">
        <v>7</v>
      </c>
      <c r="E144" s="7">
        <v>48000</v>
      </c>
      <c r="F144" s="18">
        <f t="shared" si="78"/>
        <v>480000</v>
      </c>
      <c r="G144" s="7">
        <v>768000</v>
      </c>
      <c r="H144" s="10">
        <v>288000</v>
      </c>
      <c r="I144" s="2">
        <f t="shared" si="79"/>
        <v>46146</v>
      </c>
      <c r="J144" s="1">
        <f t="shared" ca="1" si="80"/>
        <v>-3</v>
      </c>
      <c r="K144" s="3" t="str">
        <f t="shared" ca="1" si="81"/>
        <v>VENCIDO</v>
      </c>
      <c r="L144" s="1">
        <f t="shared" si="82"/>
        <v>6</v>
      </c>
      <c r="M144" s="1">
        <f t="shared" si="83"/>
        <v>10</v>
      </c>
    </row>
    <row r="145" spans="1:13" x14ac:dyDescent="0.25">
      <c r="A145" s="1" t="s">
        <v>346</v>
      </c>
      <c r="B145" s="2">
        <v>46105</v>
      </c>
      <c r="C145" s="1"/>
      <c r="D145" s="1">
        <v>7</v>
      </c>
      <c r="E145" s="7">
        <v>15000</v>
      </c>
      <c r="F145" s="18">
        <f t="shared" si="78"/>
        <v>15000</v>
      </c>
      <c r="G145" s="7">
        <v>120000</v>
      </c>
      <c r="H145" s="10">
        <v>105000</v>
      </c>
      <c r="I145" s="2">
        <f t="shared" si="79"/>
        <v>46154</v>
      </c>
      <c r="J145" s="1">
        <f t="shared" ca="1" si="80"/>
        <v>5</v>
      </c>
      <c r="K145" s="3" t="str">
        <f t="shared" ca="1" si="81"/>
        <v>VIGENTE</v>
      </c>
      <c r="L145" s="1">
        <f t="shared" si="82"/>
        <v>7</v>
      </c>
      <c r="M145" s="1">
        <f t="shared" si="83"/>
        <v>1</v>
      </c>
    </row>
    <row r="146" spans="1:13" x14ac:dyDescent="0.25">
      <c r="A146" s="1" t="s">
        <v>347</v>
      </c>
      <c r="B146" s="2">
        <v>46105</v>
      </c>
      <c r="C146" s="1"/>
      <c r="D146" s="1">
        <v>7</v>
      </c>
      <c r="E146" s="7">
        <v>50000</v>
      </c>
      <c r="F146" s="18">
        <f t="shared" si="78"/>
        <v>150000</v>
      </c>
      <c r="G146" s="7">
        <v>350000</v>
      </c>
      <c r="H146" s="10">
        <v>200000</v>
      </c>
      <c r="I146" s="2">
        <f t="shared" si="79"/>
        <v>46133</v>
      </c>
      <c r="J146" s="1">
        <f t="shared" ca="1" si="80"/>
        <v>-16</v>
      </c>
      <c r="K146" s="3" t="str">
        <f t="shared" ca="1" si="81"/>
        <v>VENCIDO</v>
      </c>
      <c r="L146" s="1">
        <f t="shared" si="82"/>
        <v>4</v>
      </c>
      <c r="M146" s="1">
        <f t="shared" si="83"/>
        <v>3</v>
      </c>
    </row>
    <row r="147" spans="1:13" x14ac:dyDescent="0.25">
      <c r="A147" s="1" t="s">
        <v>348</v>
      </c>
      <c r="B147" s="2">
        <v>46105</v>
      </c>
      <c r="C147" s="1"/>
      <c r="D147" s="1">
        <v>7</v>
      </c>
      <c r="E147" s="7">
        <v>28000</v>
      </c>
      <c r="F147" s="18">
        <f t="shared" si="78"/>
        <v>280000</v>
      </c>
      <c r="G147" s="7">
        <v>448000</v>
      </c>
      <c r="H147" s="10">
        <v>168000</v>
      </c>
      <c r="I147" s="2">
        <f t="shared" si="79"/>
        <v>46147</v>
      </c>
      <c r="J147" s="1">
        <f t="shared" ca="1" si="80"/>
        <v>-2</v>
      </c>
      <c r="K147" s="3" t="str">
        <f t="shared" ca="1" si="81"/>
        <v>VENCIDO</v>
      </c>
      <c r="L147" s="1">
        <f t="shared" si="82"/>
        <v>6</v>
      </c>
      <c r="M147" s="1">
        <f t="shared" si="83"/>
        <v>10</v>
      </c>
    </row>
    <row r="148" spans="1:13" x14ac:dyDescent="0.25">
      <c r="A148" s="1" t="s">
        <v>349</v>
      </c>
      <c r="B148" s="2">
        <v>46116</v>
      </c>
      <c r="C148" s="1"/>
      <c r="D148" s="1">
        <v>7</v>
      </c>
      <c r="E148" s="7">
        <v>55000</v>
      </c>
      <c r="F148" s="18">
        <f t="shared" si="78"/>
        <v>715000</v>
      </c>
      <c r="G148" s="7">
        <v>990000</v>
      </c>
      <c r="H148" s="10">
        <v>275000</v>
      </c>
      <c r="I148" s="2">
        <f t="shared" si="79"/>
        <v>46151</v>
      </c>
      <c r="J148" s="1">
        <f t="shared" ca="1" si="80"/>
        <v>2</v>
      </c>
      <c r="K148" s="3" t="str">
        <f t="shared" ca="1" si="81"/>
        <v>VIGENTE</v>
      </c>
      <c r="L148" s="1">
        <f t="shared" si="82"/>
        <v>5</v>
      </c>
      <c r="M148" s="1">
        <f t="shared" si="83"/>
        <v>13</v>
      </c>
    </row>
    <row r="149" spans="1:13" x14ac:dyDescent="0.25">
      <c r="A149" s="1" t="s">
        <v>175</v>
      </c>
      <c r="B149" s="2">
        <v>46106</v>
      </c>
      <c r="C149" s="1" t="s">
        <v>13</v>
      </c>
      <c r="D149" s="1">
        <v>7</v>
      </c>
      <c r="E149" s="7">
        <v>38000</v>
      </c>
      <c r="F149" s="18">
        <f t="shared" si="78"/>
        <v>152000</v>
      </c>
      <c r="G149" s="7">
        <v>380000</v>
      </c>
      <c r="H149" s="10">
        <v>228000</v>
      </c>
      <c r="I149" s="2">
        <f t="shared" si="79"/>
        <v>46155</v>
      </c>
      <c r="J149" s="1">
        <f t="shared" ca="1" si="80"/>
        <v>6</v>
      </c>
      <c r="K149" s="3" t="str">
        <f t="shared" ca="1" si="81"/>
        <v>VIGENTE</v>
      </c>
      <c r="L149" s="1">
        <f t="shared" si="82"/>
        <v>6</v>
      </c>
      <c r="M149" s="1">
        <f t="shared" si="83"/>
        <v>4</v>
      </c>
    </row>
    <row r="150" spans="1:13" x14ac:dyDescent="0.25">
      <c r="A150" s="1" t="s">
        <v>530</v>
      </c>
      <c r="B150" s="2">
        <v>46108</v>
      </c>
      <c r="C150" s="1" t="s">
        <v>13</v>
      </c>
      <c r="D150" s="1">
        <v>7</v>
      </c>
      <c r="E150" s="7">
        <v>150000</v>
      </c>
      <c r="F150" s="18">
        <f t="shared" si="78"/>
        <v>2150000</v>
      </c>
      <c r="G150" s="7">
        <v>2850000</v>
      </c>
      <c r="H150" s="10">
        <v>700000</v>
      </c>
      <c r="I150" s="2">
        <f t="shared" si="79"/>
        <v>46143</v>
      </c>
      <c r="J150" s="1">
        <f t="shared" ca="1" si="80"/>
        <v>-6</v>
      </c>
      <c r="K150" s="3" t="str">
        <f t="shared" ca="1" si="81"/>
        <v>VENCIDO</v>
      </c>
      <c r="L150" s="1">
        <f t="shared" si="82"/>
        <v>4</v>
      </c>
      <c r="M150" s="1">
        <f t="shared" si="83"/>
        <v>15</v>
      </c>
    </row>
    <row r="151" spans="1:13" x14ac:dyDescent="0.25">
      <c r="A151" s="1" t="s">
        <v>364</v>
      </c>
      <c r="B151" s="2">
        <v>46109</v>
      </c>
      <c r="C151" s="1"/>
      <c r="D151" s="1">
        <v>7</v>
      </c>
      <c r="E151" s="7">
        <v>35000</v>
      </c>
      <c r="F151" s="18">
        <f t="shared" si="78"/>
        <v>210000</v>
      </c>
      <c r="G151" s="7">
        <v>420000</v>
      </c>
      <c r="H151" s="10">
        <v>210000</v>
      </c>
      <c r="I151" s="2">
        <f t="shared" si="79"/>
        <v>46151</v>
      </c>
      <c r="J151" s="1">
        <f t="shared" ca="1" si="80"/>
        <v>2</v>
      </c>
      <c r="K151" s="3" t="str">
        <f t="shared" ca="1" si="81"/>
        <v>VIGENTE</v>
      </c>
      <c r="L151" s="1">
        <f t="shared" si="82"/>
        <v>6</v>
      </c>
      <c r="M151" s="1">
        <f t="shared" si="83"/>
        <v>6</v>
      </c>
    </row>
    <row r="152" spans="1:13" x14ac:dyDescent="0.25">
      <c r="A152" s="1" t="s">
        <v>367</v>
      </c>
      <c r="B152" s="2">
        <v>46104</v>
      </c>
      <c r="C152" s="1" t="s">
        <v>13</v>
      </c>
      <c r="D152" s="1">
        <v>7</v>
      </c>
      <c r="E152" s="7">
        <v>24000</v>
      </c>
      <c r="F152" s="18">
        <f t="shared" si="78"/>
        <v>96000</v>
      </c>
      <c r="G152" s="7">
        <v>240000</v>
      </c>
      <c r="H152" s="10">
        <v>144000</v>
      </c>
      <c r="I152" s="2">
        <f t="shared" si="79"/>
        <v>46153</v>
      </c>
      <c r="J152" s="1">
        <f t="shared" ca="1" si="80"/>
        <v>4</v>
      </c>
      <c r="K152" s="3" t="str">
        <f t="shared" ca="1" si="81"/>
        <v>VIGENTE</v>
      </c>
      <c r="L152" s="1">
        <f t="shared" si="82"/>
        <v>6</v>
      </c>
      <c r="M152" s="1">
        <f t="shared" si="83"/>
        <v>4</v>
      </c>
    </row>
    <row r="153" spans="1:13" x14ac:dyDescent="0.25">
      <c r="A153" s="1" t="s">
        <v>368</v>
      </c>
      <c r="B153" s="2">
        <v>46111</v>
      </c>
      <c r="C153" s="1" t="s">
        <v>13</v>
      </c>
      <c r="D153" s="1">
        <v>30</v>
      </c>
      <c r="E153" s="7">
        <v>28000</v>
      </c>
      <c r="F153" s="18">
        <f t="shared" si="78"/>
        <v>504000</v>
      </c>
      <c r="G153" s="7">
        <v>504000</v>
      </c>
      <c r="H153" s="10"/>
      <c r="I153" s="2">
        <f t="shared" si="79"/>
        <v>46141</v>
      </c>
      <c r="J153" s="1">
        <f t="shared" ca="1" si="80"/>
        <v>-8</v>
      </c>
      <c r="K153" s="3" t="str">
        <f t="shared" ca="1" si="81"/>
        <v>VENCIDO</v>
      </c>
      <c r="L153" s="1">
        <f t="shared" si="82"/>
        <v>0</v>
      </c>
      <c r="M153" s="1">
        <f t="shared" si="83"/>
        <v>18</v>
      </c>
    </row>
    <row r="154" spans="1:13" x14ac:dyDescent="0.25">
      <c r="A154" s="1" t="s">
        <v>369</v>
      </c>
      <c r="B154" s="2">
        <v>46111</v>
      </c>
      <c r="C154" s="1"/>
      <c r="D154" s="1">
        <v>7</v>
      </c>
      <c r="E154" s="7">
        <v>21000</v>
      </c>
      <c r="F154" s="18">
        <f t="shared" si="78"/>
        <v>84000</v>
      </c>
      <c r="G154" s="7">
        <v>168000</v>
      </c>
      <c r="H154" s="10">
        <v>84000</v>
      </c>
      <c r="I154" s="2">
        <f t="shared" si="79"/>
        <v>46139</v>
      </c>
      <c r="J154" s="1">
        <f t="shared" ca="1" si="80"/>
        <v>-10</v>
      </c>
      <c r="K154" s="3" t="str">
        <f t="shared" ca="1" si="81"/>
        <v>VENCIDO</v>
      </c>
      <c r="L154" s="1">
        <f t="shared" si="82"/>
        <v>4</v>
      </c>
      <c r="M154" s="1">
        <f t="shared" si="83"/>
        <v>4</v>
      </c>
    </row>
    <row r="155" spans="1:13" x14ac:dyDescent="0.25">
      <c r="A155" s="1" t="s">
        <v>375</v>
      </c>
      <c r="B155" s="2">
        <v>46112</v>
      </c>
      <c r="C155" s="1"/>
      <c r="D155" s="1">
        <v>7</v>
      </c>
      <c r="E155" s="7">
        <v>28000</v>
      </c>
      <c r="F155" s="18">
        <f t="shared" si="78"/>
        <v>364000</v>
      </c>
      <c r="G155" s="7">
        <v>504000</v>
      </c>
      <c r="H155" s="10">
        <v>140000</v>
      </c>
      <c r="I155" s="2">
        <f t="shared" si="79"/>
        <v>46147</v>
      </c>
      <c r="J155" s="1">
        <f t="shared" ca="1" si="80"/>
        <v>-2</v>
      </c>
      <c r="K155" s="3" t="str">
        <f t="shared" ca="1" si="81"/>
        <v>VENCIDO</v>
      </c>
      <c r="L155" s="1">
        <f t="shared" si="82"/>
        <v>5</v>
      </c>
      <c r="M155" s="1">
        <f t="shared" si="83"/>
        <v>13</v>
      </c>
    </row>
    <row r="156" spans="1:13" x14ac:dyDescent="0.25">
      <c r="A156" s="1" t="s">
        <v>376</v>
      </c>
      <c r="B156" s="2">
        <v>46112</v>
      </c>
      <c r="C156" s="1"/>
      <c r="D156" s="1">
        <v>7</v>
      </c>
      <c r="E156" s="7">
        <v>25000</v>
      </c>
      <c r="F156" s="18">
        <f t="shared" si="78"/>
        <v>150000</v>
      </c>
      <c r="G156" s="7">
        <v>300000</v>
      </c>
      <c r="H156" s="10">
        <v>150000</v>
      </c>
      <c r="I156" s="2">
        <f t="shared" si="79"/>
        <v>46154</v>
      </c>
      <c r="J156" s="1">
        <f t="shared" ca="1" si="80"/>
        <v>5</v>
      </c>
      <c r="K156" s="3" t="str">
        <f t="shared" ca="1" si="81"/>
        <v>VIGENTE</v>
      </c>
      <c r="L156" s="1">
        <f t="shared" si="82"/>
        <v>6</v>
      </c>
      <c r="M156" s="1">
        <f t="shared" si="83"/>
        <v>6</v>
      </c>
    </row>
    <row r="157" spans="1:13" x14ac:dyDescent="0.25">
      <c r="A157" s="1" t="s">
        <v>379</v>
      </c>
      <c r="B157" s="2">
        <v>46113</v>
      </c>
      <c r="C157" s="1"/>
      <c r="D157" s="1">
        <v>7</v>
      </c>
      <c r="E157" s="7">
        <v>40000</v>
      </c>
      <c r="F157" s="18">
        <f t="shared" si="78"/>
        <v>720000</v>
      </c>
      <c r="G157" s="7">
        <v>920000</v>
      </c>
      <c r="H157" s="10">
        <v>200000</v>
      </c>
      <c r="I157" s="2">
        <f t="shared" si="79"/>
        <v>46148</v>
      </c>
      <c r="J157" s="1">
        <f t="shared" ca="1" si="80"/>
        <v>-1</v>
      </c>
      <c r="K157" s="3" t="str">
        <f t="shared" ca="1" si="81"/>
        <v>VENCIDO</v>
      </c>
      <c r="L157" s="1">
        <f t="shared" si="82"/>
        <v>5</v>
      </c>
      <c r="M157" s="1">
        <f t="shared" si="83"/>
        <v>18</v>
      </c>
    </row>
    <row r="158" spans="1:13" x14ac:dyDescent="0.25">
      <c r="A158" s="1" t="s">
        <v>382</v>
      </c>
      <c r="B158" s="2">
        <v>46113</v>
      </c>
      <c r="C158" s="1"/>
      <c r="D158" s="1">
        <v>7</v>
      </c>
      <c r="E158" s="7">
        <v>70000</v>
      </c>
      <c r="F158" s="18">
        <f t="shared" si="78"/>
        <v>1190000</v>
      </c>
      <c r="G158" s="7">
        <v>1540000</v>
      </c>
      <c r="H158" s="10">
        <v>350000</v>
      </c>
      <c r="I158" s="2">
        <f t="shared" si="79"/>
        <v>46148</v>
      </c>
      <c r="J158" s="1">
        <f t="shared" ca="1" si="80"/>
        <v>-1</v>
      </c>
      <c r="K158" s="3" t="str">
        <f t="shared" ca="1" si="81"/>
        <v>VENCIDO</v>
      </c>
      <c r="L158" s="1">
        <f t="shared" si="82"/>
        <v>5</v>
      </c>
      <c r="M158" s="1">
        <f t="shared" si="83"/>
        <v>17</v>
      </c>
    </row>
    <row r="159" spans="1:13" x14ac:dyDescent="0.25">
      <c r="A159" s="1" t="s">
        <v>383</v>
      </c>
      <c r="B159" s="2">
        <v>46113</v>
      </c>
      <c r="C159" s="1" t="s">
        <v>13</v>
      </c>
      <c r="D159" s="1">
        <v>7</v>
      </c>
      <c r="E159" s="7">
        <v>28500</v>
      </c>
      <c r="F159" s="18">
        <f t="shared" si="78"/>
        <v>171000</v>
      </c>
      <c r="G159" s="7">
        <v>285000</v>
      </c>
      <c r="H159" s="10">
        <v>114000</v>
      </c>
      <c r="I159" s="2">
        <f t="shared" si="79"/>
        <v>46148</v>
      </c>
      <c r="J159" s="1">
        <f t="shared" ca="1" si="80"/>
        <v>-1</v>
      </c>
      <c r="K159" s="3" t="str">
        <f t="shared" ca="1" si="81"/>
        <v>VENCIDO</v>
      </c>
      <c r="L159" s="1">
        <f t="shared" si="82"/>
        <v>4</v>
      </c>
      <c r="M159" s="1">
        <f t="shared" si="83"/>
        <v>6</v>
      </c>
    </row>
    <row r="160" spans="1:13" x14ac:dyDescent="0.25">
      <c r="A160" s="1" t="s">
        <v>384</v>
      </c>
      <c r="B160" s="2">
        <v>46113</v>
      </c>
      <c r="C160" s="1"/>
      <c r="D160" s="1">
        <v>7</v>
      </c>
      <c r="E160" s="7">
        <v>60000</v>
      </c>
      <c r="F160" s="18">
        <f t="shared" si="78"/>
        <v>1260000</v>
      </c>
      <c r="G160" s="7">
        <v>1560000</v>
      </c>
      <c r="H160" s="10">
        <v>300000</v>
      </c>
      <c r="I160" s="2">
        <f t="shared" si="79"/>
        <v>46148</v>
      </c>
      <c r="J160" s="1">
        <f t="shared" ca="1" si="80"/>
        <v>-1</v>
      </c>
      <c r="K160" s="3" t="str">
        <f t="shared" ca="1" si="81"/>
        <v>VENCIDO</v>
      </c>
      <c r="L160" s="1">
        <f t="shared" si="82"/>
        <v>5</v>
      </c>
      <c r="M160" s="1">
        <f t="shared" si="83"/>
        <v>21</v>
      </c>
    </row>
    <row r="161" spans="1:13" x14ac:dyDescent="0.25">
      <c r="A161" s="1" t="s">
        <v>385</v>
      </c>
      <c r="B161" s="2">
        <v>46114</v>
      </c>
      <c r="C161" s="1" t="s">
        <v>13</v>
      </c>
      <c r="D161" s="1">
        <v>7</v>
      </c>
      <c r="E161" s="7">
        <v>22000</v>
      </c>
      <c r="F161" s="18">
        <f t="shared" si="78"/>
        <v>22000</v>
      </c>
      <c r="G161" s="7">
        <v>88000</v>
      </c>
      <c r="H161" s="10">
        <v>66000</v>
      </c>
      <c r="I161" s="2">
        <f t="shared" si="79"/>
        <v>46142</v>
      </c>
      <c r="J161" s="1">
        <f t="shared" ca="1" si="80"/>
        <v>-7</v>
      </c>
      <c r="K161" s="3" t="str">
        <f t="shared" ca="1" si="81"/>
        <v>VENCIDO</v>
      </c>
      <c r="L161" s="1">
        <f t="shared" si="82"/>
        <v>3</v>
      </c>
      <c r="M161" s="1">
        <f t="shared" si="83"/>
        <v>1</v>
      </c>
    </row>
    <row r="162" spans="1:13" x14ac:dyDescent="0.25">
      <c r="A162" s="1" t="s">
        <v>392</v>
      </c>
      <c r="B162" s="2">
        <v>46115</v>
      </c>
      <c r="C162" s="1"/>
      <c r="D162" s="1">
        <v>7</v>
      </c>
      <c r="E162" s="7">
        <v>28000</v>
      </c>
      <c r="F162" s="18">
        <f t="shared" si="78"/>
        <v>308000</v>
      </c>
      <c r="G162" s="7">
        <v>448000</v>
      </c>
      <c r="H162" s="10">
        <v>140000</v>
      </c>
      <c r="I162" s="2">
        <f t="shared" si="79"/>
        <v>46150</v>
      </c>
      <c r="J162" s="1">
        <f t="shared" ca="1" si="80"/>
        <v>1</v>
      </c>
      <c r="K162" s="3" t="str">
        <f t="shared" ca="1" si="81"/>
        <v>PRÓXIMO</v>
      </c>
      <c r="L162" s="1">
        <f t="shared" si="82"/>
        <v>5</v>
      </c>
      <c r="M162" s="1">
        <f t="shared" si="83"/>
        <v>11</v>
      </c>
    </row>
    <row r="163" spans="1:13" x14ac:dyDescent="0.25">
      <c r="A163" s="1" t="s">
        <v>388</v>
      </c>
      <c r="B163" s="2">
        <v>46115</v>
      </c>
      <c r="C163" s="1"/>
      <c r="D163" s="1">
        <v>7</v>
      </c>
      <c r="E163" s="7">
        <v>35000</v>
      </c>
      <c r="F163" s="18">
        <f t="shared" si="78"/>
        <v>490000</v>
      </c>
      <c r="G163" s="7">
        <v>665000</v>
      </c>
      <c r="H163" s="10">
        <v>175000</v>
      </c>
      <c r="I163" s="2">
        <f t="shared" si="79"/>
        <v>46150</v>
      </c>
      <c r="J163" s="1">
        <f t="shared" ca="1" si="80"/>
        <v>1</v>
      </c>
      <c r="K163" s="3" t="str">
        <f t="shared" ca="1" si="81"/>
        <v>PRÓXIMO</v>
      </c>
      <c r="L163" s="1">
        <f t="shared" si="82"/>
        <v>5</v>
      </c>
      <c r="M163" s="1">
        <f t="shared" si="83"/>
        <v>14</v>
      </c>
    </row>
    <row r="164" spans="1:13" x14ac:dyDescent="0.25">
      <c r="A164" s="1" t="s">
        <v>395</v>
      </c>
      <c r="B164" s="2">
        <v>46115</v>
      </c>
      <c r="C164" s="1" t="s">
        <v>13</v>
      </c>
      <c r="D164" s="1">
        <v>7</v>
      </c>
      <c r="E164" s="7">
        <v>80000</v>
      </c>
      <c r="F164" s="18">
        <f t="shared" si="78"/>
        <v>1680000</v>
      </c>
      <c r="G164" s="7">
        <v>2000000</v>
      </c>
      <c r="H164" s="10">
        <v>320000</v>
      </c>
      <c r="I164" s="2">
        <f t="shared" si="79"/>
        <v>46150</v>
      </c>
      <c r="J164" s="1">
        <f t="shared" ca="1" si="80"/>
        <v>1</v>
      </c>
      <c r="K164" s="3" t="str">
        <f t="shared" ca="1" si="81"/>
        <v>PRÓXIMO</v>
      </c>
      <c r="L164" s="1">
        <f t="shared" si="82"/>
        <v>4</v>
      </c>
      <c r="M164" s="1">
        <f t="shared" si="83"/>
        <v>21</v>
      </c>
    </row>
    <row r="165" spans="1:13" x14ac:dyDescent="0.25">
      <c r="A165" s="1" t="s">
        <v>496</v>
      </c>
      <c r="B165" s="2">
        <v>46116</v>
      </c>
      <c r="C165" s="1"/>
      <c r="D165" s="1">
        <v>15</v>
      </c>
      <c r="E165" s="7">
        <v>84000</v>
      </c>
      <c r="F165" s="18">
        <f t="shared" si="78"/>
        <v>672000</v>
      </c>
      <c r="G165" s="7">
        <v>840000</v>
      </c>
      <c r="H165" s="10">
        <v>168000</v>
      </c>
      <c r="I165" s="2">
        <f t="shared" si="79"/>
        <v>46146</v>
      </c>
      <c r="J165" s="1">
        <f t="shared" ca="1" si="80"/>
        <v>-3</v>
      </c>
      <c r="K165" s="3" t="str">
        <f t="shared" ca="1" si="81"/>
        <v>VENCIDO</v>
      </c>
      <c r="L165" s="1">
        <f t="shared" si="82"/>
        <v>2</v>
      </c>
      <c r="M165" s="1">
        <f t="shared" si="83"/>
        <v>8</v>
      </c>
    </row>
    <row r="166" spans="1:13" x14ac:dyDescent="0.25">
      <c r="A166" s="1" t="s">
        <v>398</v>
      </c>
      <c r="B166" s="2">
        <v>46116</v>
      </c>
      <c r="C166" s="1"/>
      <c r="D166" s="1">
        <v>7</v>
      </c>
      <c r="E166" s="7">
        <v>18000</v>
      </c>
      <c r="F166" s="18">
        <f t="shared" si="78"/>
        <v>162000</v>
      </c>
      <c r="G166" s="7">
        <v>252000</v>
      </c>
      <c r="H166" s="10">
        <v>90000</v>
      </c>
      <c r="I166" s="2">
        <f t="shared" si="79"/>
        <v>46151</v>
      </c>
      <c r="J166" s="1">
        <f t="shared" ca="1" si="80"/>
        <v>2</v>
      </c>
      <c r="K166" s="3" t="str">
        <f t="shared" ca="1" si="81"/>
        <v>VIGENTE</v>
      </c>
      <c r="L166" s="1">
        <f t="shared" si="82"/>
        <v>5</v>
      </c>
      <c r="M166" s="1">
        <f t="shared" si="83"/>
        <v>9</v>
      </c>
    </row>
    <row r="167" spans="1:13" x14ac:dyDescent="0.25">
      <c r="A167" s="1" t="s">
        <v>399</v>
      </c>
      <c r="B167" s="2">
        <v>46116</v>
      </c>
      <c r="C167" s="1"/>
      <c r="D167" s="1">
        <v>7</v>
      </c>
      <c r="E167" s="7">
        <v>30000</v>
      </c>
      <c r="F167" s="18">
        <f t="shared" si="78"/>
        <v>390000</v>
      </c>
      <c r="G167" s="7">
        <v>540000</v>
      </c>
      <c r="H167" s="10">
        <v>150000</v>
      </c>
      <c r="I167" s="2">
        <f t="shared" si="79"/>
        <v>46151</v>
      </c>
      <c r="J167" s="1">
        <f t="shared" ca="1" si="80"/>
        <v>2</v>
      </c>
      <c r="K167" s="3" t="str">
        <f t="shared" ca="1" si="81"/>
        <v>VIGENTE</v>
      </c>
      <c r="L167" s="1">
        <f t="shared" si="82"/>
        <v>5</v>
      </c>
      <c r="M167" s="1">
        <f t="shared" si="83"/>
        <v>13</v>
      </c>
    </row>
    <row r="168" spans="1:13" x14ac:dyDescent="0.25">
      <c r="A168" s="1" t="s">
        <v>401</v>
      </c>
      <c r="B168" s="2">
        <v>46116</v>
      </c>
      <c r="C168" s="1"/>
      <c r="D168" s="1">
        <v>7</v>
      </c>
      <c r="E168" s="7">
        <v>25000</v>
      </c>
      <c r="F168" s="18">
        <f t="shared" si="78"/>
        <v>325000</v>
      </c>
      <c r="G168" s="7">
        <v>425000</v>
      </c>
      <c r="H168" s="10">
        <v>100000</v>
      </c>
      <c r="I168" s="2">
        <f t="shared" si="79"/>
        <v>46144</v>
      </c>
      <c r="J168" s="1">
        <f t="shared" ca="1" si="80"/>
        <v>-5</v>
      </c>
      <c r="K168" s="3" t="str">
        <f t="shared" ca="1" si="81"/>
        <v>VENCIDO</v>
      </c>
      <c r="L168" s="1">
        <f t="shared" si="82"/>
        <v>4</v>
      </c>
      <c r="M168" s="1">
        <f t="shared" si="83"/>
        <v>13</v>
      </c>
    </row>
    <row r="169" spans="1:13" x14ac:dyDescent="0.25">
      <c r="A169" s="1" t="s">
        <v>497</v>
      </c>
      <c r="B169" s="2">
        <v>46116</v>
      </c>
      <c r="C169" s="1" t="s">
        <v>13</v>
      </c>
      <c r="D169" s="1">
        <v>7</v>
      </c>
      <c r="E169" s="7">
        <v>114000</v>
      </c>
      <c r="F169" s="18">
        <f t="shared" si="78"/>
        <v>456000</v>
      </c>
      <c r="G169" s="7">
        <v>570000</v>
      </c>
      <c r="H169" s="10">
        <v>114000</v>
      </c>
      <c r="I169" s="2">
        <f t="shared" si="79"/>
        <v>46130</v>
      </c>
      <c r="J169" s="1">
        <f t="shared" ca="1" si="80"/>
        <v>-19</v>
      </c>
      <c r="K169" s="3" t="str">
        <f t="shared" ca="1" si="81"/>
        <v>VENCIDO</v>
      </c>
      <c r="L169" s="1">
        <f t="shared" si="82"/>
        <v>1</v>
      </c>
      <c r="M169" s="1">
        <f t="shared" si="83"/>
        <v>4</v>
      </c>
    </row>
    <row r="170" spans="1:13" x14ac:dyDescent="0.25">
      <c r="A170" s="1" t="s">
        <v>411</v>
      </c>
      <c r="B170" s="2">
        <v>46119</v>
      </c>
      <c r="C170" s="1" t="s">
        <v>13</v>
      </c>
      <c r="D170" s="1">
        <v>7</v>
      </c>
      <c r="E170" s="7">
        <v>35000</v>
      </c>
      <c r="F170" s="18">
        <f t="shared" si="78"/>
        <v>210000</v>
      </c>
      <c r="G170" s="7">
        <v>280000</v>
      </c>
      <c r="H170" s="10">
        <v>70000</v>
      </c>
      <c r="I170" s="2">
        <f t="shared" si="79"/>
        <v>46140</v>
      </c>
      <c r="J170" s="1">
        <f t="shared" ca="1" si="80"/>
        <v>-9</v>
      </c>
      <c r="K170" s="3" t="str">
        <f t="shared" ca="1" si="81"/>
        <v>VENCIDO</v>
      </c>
      <c r="L170" s="1">
        <f t="shared" si="82"/>
        <v>2</v>
      </c>
      <c r="M170" s="1">
        <f t="shared" si="83"/>
        <v>6</v>
      </c>
    </row>
    <row r="171" spans="1:13" x14ac:dyDescent="0.25">
      <c r="A171" s="1" t="s">
        <v>413</v>
      </c>
      <c r="B171" s="2">
        <v>46119</v>
      </c>
      <c r="C171" s="1" t="s">
        <v>13</v>
      </c>
      <c r="D171" s="1">
        <v>7</v>
      </c>
      <c r="E171" s="7">
        <v>38000</v>
      </c>
      <c r="F171" s="18">
        <f t="shared" si="78"/>
        <v>228000</v>
      </c>
      <c r="G171" s="7">
        <v>380000</v>
      </c>
      <c r="H171" s="10">
        <v>152000</v>
      </c>
      <c r="I171" s="2">
        <f t="shared" si="79"/>
        <v>46154</v>
      </c>
      <c r="J171" s="1">
        <f t="shared" ca="1" si="80"/>
        <v>5</v>
      </c>
      <c r="K171" s="3" t="str">
        <f t="shared" ca="1" si="81"/>
        <v>VIGENTE</v>
      </c>
      <c r="L171" s="1">
        <f t="shared" si="82"/>
        <v>4</v>
      </c>
      <c r="M171" s="1">
        <f t="shared" si="83"/>
        <v>6</v>
      </c>
    </row>
    <row r="172" spans="1:13" x14ac:dyDescent="0.25">
      <c r="A172" s="1" t="s">
        <v>414</v>
      </c>
      <c r="B172" s="2">
        <v>46119</v>
      </c>
      <c r="C172" s="1"/>
      <c r="D172" s="1">
        <v>7</v>
      </c>
      <c r="E172" s="7">
        <v>44000</v>
      </c>
      <c r="F172" s="18">
        <f t="shared" si="78"/>
        <v>616000</v>
      </c>
      <c r="G172" s="7">
        <v>836000</v>
      </c>
      <c r="H172" s="10">
        <v>220000</v>
      </c>
      <c r="I172" s="2">
        <f t="shared" si="79"/>
        <v>46154</v>
      </c>
      <c r="J172" s="1">
        <f t="shared" ca="1" si="80"/>
        <v>5</v>
      </c>
      <c r="K172" s="3" t="str">
        <f t="shared" ca="1" si="81"/>
        <v>VIGENTE</v>
      </c>
      <c r="L172" s="1">
        <f t="shared" si="82"/>
        <v>5</v>
      </c>
      <c r="M172" s="1">
        <f t="shared" si="83"/>
        <v>14</v>
      </c>
    </row>
    <row r="173" spans="1:13" x14ac:dyDescent="0.25">
      <c r="A173" s="1" t="s">
        <v>422</v>
      </c>
      <c r="B173" s="2">
        <v>46120</v>
      </c>
      <c r="C173" s="1"/>
      <c r="D173" s="1">
        <v>7</v>
      </c>
      <c r="E173" s="7">
        <v>25000</v>
      </c>
      <c r="F173" s="18">
        <f t="shared" si="78"/>
        <v>250000</v>
      </c>
      <c r="G173" s="7">
        <v>375000</v>
      </c>
      <c r="H173" s="10">
        <v>125000</v>
      </c>
      <c r="I173" s="2">
        <f t="shared" si="79"/>
        <v>46155</v>
      </c>
      <c r="J173" s="1">
        <f t="shared" ca="1" si="80"/>
        <v>6</v>
      </c>
      <c r="K173" s="3" t="str">
        <f t="shared" ca="1" si="81"/>
        <v>VIGENTE</v>
      </c>
      <c r="L173" s="1">
        <f t="shared" si="82"/>
        <v>5</v>
      </c>
      <c r="M173" s="1">
        <f t="shared" si="83"/>
        <v>10</v>
      </c>
    </row>
    <row r="174" spans="1:13" x14ac:dyDescent="0.25">
      <c r="A174" s="1" t="s">
        <v>423</v>
      </c>
      <c r="B174" s="2">
        <v>46121</v>
      </c>
      <c r="C174" s="1"/>
      <c r="D174" s="1">
        <v>7</v>
      </c>
      <c r="E174" s="7">
        <v>37000</v>
      </c>
      <c r="F174" s="18">
        <f t="shared" si="78"/>
        <v>370000</v>
      </c>
      <c r="G174" s="7">
        <v>518000</v>
      </c>
      <c r="H174" s="10">
        <v>148000</v>
      </c>
      <c r="I174" s="2">
        <f t="shared" si="79"/>
        <v>46149</v>
      </c>
      <c r="J174" s="1">
        <f t="shared" ca="1" si="80"/>
        <v>0</v>
      </c>
      <c r="K174" s="3" t="str">
        <f t="shared" ca="1" si="81"/>
        <v>PRÓXIMO</v>
      </c>
      <c r="L174" s="1">
        <f t="shared" si="82"/>
        <v>4</v>
      </c>
      <c r="M174" s="1">
        <f t="shared" si="83"/>
        <v>10</v>
      </c>
    </row>
    <row r="175" spans="1:13" x14ac:dyDescent="0.25">
      <c r="A175" s="1" t="s">
        <v>425</v>
      </c>
      <c r="B175" s="2">
        <v>46121</v>
      </c>
      <c r="C175" s="1" t="s">
        <v>13</v>
      </c>
      <c r="D175" s="1">
        <v>7</v>
      </c>
      <c r="E175" s="7">
        <v>65000</v>
      </c>
      <c r="F175" s="18">
        <f t="shared" si="78"/>
        <v>585000</v>
      </c>
      <c r="G175" s="7">
        <v>780000</v>
      </c>
      <c r="H175" s="10">
        <v>195000</v>
      </c>
      <c r="I175" s="2">
        <f t="shared" si="79"/>
        <v>46149</v>
      </c>
      <c r="J175" s="1">
        <f t="shared" ca="1" si="80"/>
        <v>0</v>
      </c>
      <c r="K175" s="3" t="str">
        <f t="shared" ca="1" si="81"/>
        <v>PRÓXIMO</v>
      </c>
      <c r="L175" s="1">
        <f t="shared" si="82"/>
        <v>3</v>
      </c>
      <c r="M175" s="1">
        <f t="shared" si="83"/>
        <v>9</v>
      </c>
    </row>
    <row r="176" spans="1:13" x14ac:dyDescent="0.25">
      <c r="A176" s="1" t="s">
        <v>426</v>
      </c>
      <c r="B176" s="2">
        <v>46121</v>
      </c>
      <c r="C176" s="1"/>
      <c r="D176" s="1">
        <v>7</v>
      </c>
      <c r="E176" s="7">
        <v>28000</v>
      </c>
      <c r="F176" s="18">
        <f t="shared" si="78"/>
        <v>364000</v>
      </c>
      <c r="G176" s="7">
        <v>476000</v>
      </c>
      <c r="H176" s="10">
        <v>112000</v>
      </c>
      <c r="I176" s="2">
        <f t="shared" si="79"/>
        <v>46149</v>
      </c>
      <c r="J176" s="1">
        <f t="shared" ca="1" si="80"/>
        <v>0</v>
      </c>
      <c r="K176" s="3" t="str">
        <f t="shared" ca="1" si="81"/>
        <v>PRÓXIMO</v>
      </c>
      <c r="L176" s="1">
        <f t="shared" si="82"/>
        <v>4</v>
      </c>
      <c r="M176" s="1">
        <f t="shared" si="83"/>
        <v>13</v>
      </c>
    </row>
    <row r="177" spans="1:13" x14ac:dyDescent="0.25">
      <c r="A177" s="1" t="s">
        <v>427</v>
      </c>
      <c r="B177" s="2">
        <v>46121</v>
      </c>
      <c r="C177" s="1" t="s">
        <v>13</v>
      </c>
      <c r="D177" s="1">
        <v>7</v>
      </c>
      <c r="E177" s="7">
        <v>35000</v>
      </c>
      <c r="F177" s="18">
        <f t="shared" si="78"/>
        <v>175000</v>
      </c>
      <c r="G177" s="7">
        <v>280000</v>
      </c>
      <c r="H177" s="10">
        <v>105000</v>
      </c>
      <c r="I177" s="2">
        <f t="shared" si="79"/>
        <v>46149</v>
      </c>
      <c r="J177" s="1">
        <f t="shared" ca="1" si="80"/>
        <v>0</v>
      </c>
      <c r="K177" s="3" t="str">
        <f t="shared" ca="1" si="81"/>
        <v>PRÓXIMO</v>
      </c>
      <c r="L177" s="1">
        <f t="shared" si="82"/>
        <v>3</v>
      </c>
      <c r="M177" s="1">
        <f t="shared" si="83"/>
        <v>5</v>
      </c>
    </row>
    <row r="178" spans="1:13" x14ac:dyDescent="0.25">
      <c r="A178" s="1" t="s">
        <v>428</v>
      </c>
      <c r="B178" s="2">
        <v>46122</v>
      </c>
      <c r="C178" s="1" t="s">
        <v>13</v>
      </c>
      <c r="D178" s="1">
        <v>7</v>
      </c>
      <c r="E178" s="7">
        <v>95000</v>
      </c>
      <c r="F178" s="18">
        <f t="shared" si="78"/>
        <v>760000</v>
      </c>
      <c r="G178" s="7">
        <v>950000</v>
      </c>
      <c r="H178" s="10">
        <v>190000</v>
      </c>
      <c r="I178" s="2">
        <f t="shared" si="79"/>
        <v>46143</v>
      </c>
      <c r="J178" s="1">
        <f t="shared" ca="1" si="80"/>
        <v>-6</v>
      </c>
      <c r="K178" s="3" t="str">
        <f t="shared" ca="1" si="81"/>
        <v>VENCIDO</v>
      </c>
      <c r="L178" s="1">
        <f t="shared" si="82"/>
        <v>2</v>
      </c>
      <c r="M178" s="1">
        <f t="shared" si="83"/>
        <v>8</v>
      </c>
    </row>
    <row r="179" spans="1:13" x14ac:dyDescent="0.25">
      <c r="A179" s="1" t="s">
        <v>431</v>
      </c>
      <c r="B179" s="2">
        <v>46123</v>
      </c>
      <c r="C179" s="1"/>
      <c r="D179" s="1">
        <v>15</v>
      </c>
      <c r="E179" s="7">
        <v>46000</v>
      </c>
      <c r="F179" s="18">
        <f t="shared" si="78"/>
        <v>322000</v>
      </c>
      <c r="G179" s="7">
        <v>368000</v>
      </c>
      <c r="H179" s="10">
        <v>46000</v>
      </c>
      <c r="I179" s="2">
        <f t="shared" si="79"/>
        <v>46138</v>
      </c>
      <c r="J179" s="1">
        <f t="shared" ca="1" si="80"/>
        <v>-11</v>
      </c>
      <c r="K179" s="3" t="str">
        <f t="shared" ca="1" si="81"/>
        <v>VENCIDO</v>
      </c>
      <c r="L179" s="1">
        <f t="shared" si="82"/>
        <v>1</v>
      </c>
      <c r="M179" s="1">
        <f t="shared" si="83"/>
        <v>7</v>
      </c>
    </row>
    <row r="180" spans="1:13" x14ac:dyDescent="0.25">
      <c r="A180" s="1" t="s">
        <v>432</v>
      </c>
      <c r="B180" s="2">
        <v>46123</v>
      </c>
      <c r="C180" s="1"/>
      <c r="D180" s="1">
        <v>15</v>
      </c>
      <c r="E180" s="7">
        <v>70000</v>
      </c>
      <c r="F180" s="18">
        <f t="shared" si="78"/>
        <v>700000</v>
      </c>
      <c r="G180" s="7">
        <v>770000</v>
      </c>
      <c r="H180" s="10">
        <v>70000</v>
      </c>
      <c r="I180" s="2">
        <f t="shared" si="79"/>
        <v>46138</v>
      </c>
      <c r="J180" s="1">
        <f t="shared" ca="1" si="80"/>
        <v>-11</v>
      </c>
      <c r="K180" s="3" t="str">
        <f t="shared" ca="1" si="81"/>
        <v>VENCIDO</v>
      </c>
      <c r="L180" s="1">
        <f t="shared" si="82"/>
        <v>1</v>
      </c>
      <c r="M180" s="1">
        <f t="shared" si="83"/>
        <v>10</v>
      </c>
    </row>
    <row r="181" spans="1:13" x14ac:dyDescent="0.25">
      <c r="A181" s="1" t="s">
        <v>433</v>
      </c>
      <c r="B181" s="2">
        <v>46123</v>
      </c>
      <c r="C181" s="1"/>
      <c r="D181" s="1">
        <v>7</v>
      </c>
      <c r="E181" s="7">
        <v>16000</v>
      </c>
      <c r="F181" s="18">
        <f t="shared" si="78"/>
        <v>176000</v>
      </c>
      <c r="G181" s="7">
        <v>224000</v>
      </c>
      <c r="H181" s="10">
        <v>48000</v>
      </c>
      <c r="I181" s="2">
        <f t="shared" si="79"/>
        <v>46144</v>
      </c>
      <c r="J181" s="1">
        <f t="shared" ca="1" si="80"/>
        <v>-5</v>
      </c>
      <c r="K181" s="3" t="str">
        <f t="shared" ca="1" si="81"/>
        <v>VENCIDO</v>
      </c>
      <c r="L181" s="1">
        <f t="shared" si="82"/>
        <v>3</v>
      </c>
      <c r="M181" s="1">
        <f t="shared" si="83"/>
        <v>11</v>
      </c>
    </row>
    <row r="182" spans="1:13" x14ac:dyDescent="0.25">
      <c r="A182" s="1" t="s">
        <v>434</v>
      </c>
      <c r="B182" s="2">
        <v>46123</v>
      </c>
      <c r="C182" s="1"/>
      <c r="D182" s="1">
        <v>7</v>
      </c>
      <c r="E182" s="7">
        <v>15000</v>
      </c>
      <c r="F182" s="18">
        <f t="shared" si="78"/>
        <v>150000</v>
      </c>
      <c r="G182" s="7">
        <v>210000</v>
      </c>
      <c r="H182" s="10">
        <v>60000</v>
      </c>
      <c r="I182" s="2">
        <f t="shared" si="79"/>
        <v>46151</v>
      </c>
      <c r="J182" s="1">
        <f t="shared" ca="1" si="80"/>
        <v>2</v>
      </c>
      <c r="K182" s="3" t="str">
        <f t="shared" ca="1" si="81"/>
        <v>VIGENTE</v>
      </c>
      <c r="L182" s="1">
        <f t="shared" si="82"/>
        <v>4</v>
      </c>
      <c r="M182" s="1">
        <f t="shared" si="83"/>
        <v>10</v>
      </c>
    </row>
    <row r="183" spans="1:13" x14ac:dyDescent="0.25">
      <c r="A183" s="1" t="s">
        <v>435</v>
      </c>
      <c r="B183" s="2">
        <v>46122</v>
      </c>
      <c r="C183" s="1"/>
      <c r="D183" s="1">
        <v>7</v>
      </c>
      <c r="E183" s="7">
        <v>16000</v>
      </c>
      <c r="F183" s="18">
        <f t="shared" si="78"/>
        <v>160000</v>
      </c>
      <c r="G183" s="7">
        <v>240000</v>
      </c>
      <c r="H183" s="10">
        <v>80000</v>
      </c>
      <c r="I183" s="2">
        <f t="shared" si="79"/>
        <v>46157</v>
      </c>
      <c r="J183" s="1">
        <f t="shared" ca="1" si="80"/>
        <v>8</v>
      </c>
      <c r="K183" s="3" t="str">
        <f t="shared" ca="1" si="81"/>
        <v>VIGENTE</v>
      </c>
      <c r="L183" s="1">
        <f t="shared" si="82"/>
        <v>5</v>
      </c>
      <c r="M183" s="1">
        <f t="shared" si="83"/>
        <v>10</v>
      </c>
    </row>
    <row r="184" spans="1:13" x14ac:dyDescent="0.25">
      <c r="A184" s="1" t="s">
        <v>442</v>
      </c>
      <c r="B184" s="2">
        <v>46125</v>
      </c>
      <c r="C184" s="1"/>
      <c r="D184" s="1">
        <v>7</v>
      </c>
      <c r="E184" s="7">
        <v>26000</v>
      </c>
      <c r="F184" s="18">
        <f t="shared" si="78"/>
        <v>442000</v>
      </c>
      <c r="G184" s="7">
        <v>468000</v>
      </c>
      <c r="H184" s="10">
        <v>26000</v>
      </c>
      <c r="I184" s="2">
        <f t="shared" si="79"/>
        <v>46132</v>
      </c>
      <c r="J184" s="1">
        <f t="shared" ca="1" si="80"/>
        <v>-17</v>
      </c>
      <c r="K184" s="3" t="str">
        <f t="shared" ca="1" si="81"/>
        <v>VENCIDO</v>
      </c>
      <c r="L184" s="1">
        <f t="shared" si="82"/>
        <v>1</v>
      </c>
      <c r="M184" s="1">
        <f t="shared" si="83"/>
        <v>17</v>
      </c>
    </row>
    <row r="185" spans="1:13" x14ac:dyDescent="0.25">
      <c r="A185" s="1" t="s">
        <v>445</v>
      </c>
      <c r="B185" s="2">
        <v>46126</v>
      </c>
      <c r="C185" s="1" t="s">
        <v>13</v>
      </c>
      <c r="D185" s="1">
        <v>7</v>
      </c>
      <c r="E185" s="7">
        <v>76000</v>
      </c>
      <c r="F185" s="18">
        <f t="shared" si="78"/>
        <v>532000</v>
      </c>
      <c r="G185" s="7">
        <v>760000</v>
      </c>
      <c r="H185" s="10">
        <v>228000</v>
      </c>
      <c r="I185" s="2">
        <f t="shared" si="79"/>
        <v>46154</v>
      </c>
      <c r="J185" s="1">
        <f t="shared" ca="1" si="80"/>
        <v>5</v>
      </c>
      <c r="K185" s="3" t="str">
        <f t="shared" ca="1" si="81"/>
        <v>VIGENTE</v>
      </c>
      <c r="L185" s="1">
        <f t="shared" si="82"/>
        <v>3</v>
      </c>
      <c r="M185" s="1">
        <f t="shared" si="83"/>
        <v>7</v>
      </c>
    </row>
    <row r="186" spans="1:13" x14ac:dyDescent="0.25">
      <c r="A186" s="1" t="s">
        <v>446</v>
      </c>
      <c r="B186" s="2">
        <v>46126</v>
      </c>
      <c r="C186" s="1"/>
      <c r="D186" s="1">
        <v>7</v>
      </c>
      <c r="E186" s="7">
        <v>40000</v>
      </c>
      <c r="F186" s="18">
        <f t="shared" si="78"/>
        <v>800000</v>
      </c>
      <c r="G186" s="7">
        <v>920000</v>
      </c>
      <c r="H186" s="10">
        <v>120000</v>
      </c>
      <c r="I186" s="2">
        <f t="shared" si="79"/>
        <v>46147</v>
      </c>
      <c r="J186" s="1">
        <f t="shared" ca="1" si="80"/>
        <v>-2</v>
      </c>
      <c r="K186" s="3" t="str">
        <f t="shared" ca="1" si="81"/>
        <v>VENCIDO</v>
      </c>
      <c r="L186" s="1">
        <f t="shared" si="82"/>
        <v>3</v>
      </c>
      <c r="M186" s="1">
        <f t="shared" si="83"/>
        <v>20</v>
      </c>
    </row>
    <row r="187" spans="1:13" x14ac:dyDescent="0.25">
      <c r="A187" s="1" t="s">
        <v>447</v>
      </c>
      <c r="B187" s="2">
        <v>46126</v>
      </c>
      <c r="C187" s="1"/>
      <c r="D187" s="1">
        <v>7</v>
      </c>
      <c r="E187" s="7">
        <v>35000</v>
      </c>
      <c r="F187" s="18">
        <f t="shared" si="78"/>
        <v>385000</v>
      </c>
      <c r="G187" s="7">
        <v>490000</v>
      </c>
      <c r="H187" s="10">
        <v>105000</v>
      </c>
      <c r="I187" s="2">
        <f t="shared" si="79"/>
        <v>46147</v>
      </c>
      <c r="J187" s="1">
        <f t="shared" ca="1" si="80"/>
        <v>-2</v>
      </c>
      <c r="K187" s="3" t="str">
        <f t="shared" ca="1" si="81"/>
        <v>VENCIDO</v>
      </c>
      <c r="L187" s="1">
        <f t="shared" si="82"/>
        <v>3</v>
      </c>
      <c r="M187" s="1">
        <f t="shared" si="83"/>
        <v>11</v>
      </c>
    </row>
    <row r="188" spans="1:13" x14ac:dyDescent="0.25">
      <c r="A188" s="1" t="s">
        <v>448</v>
      </c>
      <c r="B188" s="2">
        <v>46126</v>
      </c>
      <c r="C188" s="1"/>
      <c r="D188" s="1">
        <v>7</v>
      </c>
      <c r="E188" s="7">
        <v>25000</v>
      </c>
      <c r="F188" s="18">
        <f t="shared" si="78"/>
        <v>150000</v>
      </c>
      <c r="G188" s="7">
        <v>225000</v>
      </c>
      <c r="H188" s="10">
        <v>75000</v>
      </c>
      <c r="I188" s="2">
        <f t="shared" si="79"/>
        <v>46147</v>
      </c>
      <c r="J188" s="1">
        <f t="shared" ca="1" si="80"/>
        <v>-2</v>
      </c>
      <c r="K188" s="3" t="str">
        <f t="shared" ca="1" si="81"/>
        <v>VENCIDO</v>
      </c>
      <c r="L188" s="1">
        <f t="shared" si="82"/>
        <v>3</v>
      </c>
      <c r="M188" s="1">
        <f t="shared" si="83"/>
        <v>6</v>
      </c>
    </row>
    <row r="189" spans="1:13" x14ac:dyDescent="0.25">
      <c r="A189" s="1" t="s">
        <v>452</v>
      </c>
      <c r="B189" s="2">
        <v>46127</v>
      </c>
      <c r="C189" s="1"/>
      <c r="D189" s="1">
        <v>7</v>
      </c>
      <c r="E189" s="7">
        <v>25000</v>
      </c>
      <c r="F189" s="18">
        <f t="shared" ref="F189:F246" si="84">G189-H189</f>
        <v>135000</v>
      </c>
      <c r="G189" s="7">
        <v>200000</v>
      </c>
      <c r="H189" s="10">
        <v>65000</v>
      </c>
      <c r="I189" s="2">
        <f t="shared" ref="I189:I246" si="85">IF(F189=0,"",IF(C189="CRED",B189+(INT((G189-F189)/E189)+1)*D189,B189+INT((G189-F189)/E189)*D189))</f>
        <v>46141</v>
      </c>
      <c r="J189" s="1">
        <f t="shared" ref="J189:J246" ca="1" si="86">IF(I189="","",I189-TODAY())</f>
        <v>-8</v>
      </c>
      <c r="K189" s="3" t="str">
        <f t="shared" ref="K189:K246" ca="1" si="87">IF(J189="","",IF(J189&lt;0,"VENCIDO",IF(J189&lt;=1,"PRÓXIMO","VIGENTE")))</f>
        <v>VENCIDO</v>
      </c>
      <c r="L189" s="1">
        <f t="shared" ref="L189:L246" si="88">IF(F189=G189,0,INT((G189-F189)/E189))</f>
        <v>2</v>
      </c>
      <c r="M189" s="1">
        <f t="shared" ref="M189:M246" si="89">IF(F189=0,0,INT(F189/E189)+(IF(MOD(F189,E189)&gt;0,1,0)))</f>
        <v>6</v>
      </c>
    </row>
    <row r="190" spans="1:13" x14ac:dyDescent="0.25">
      <c r="A190" s="1" t="s">
        <v>456</v>
      </c>
      <c r="B190" s="2">
        <v>46127</v>
      </c>
      <c r="C190" s="1"/>
      <c r="D190" s="1">
        <v>7</v>
      </c>
      <c r="E190" s="7">
        <v>30000</v>
      </c>
      <c r="F190" s="18">
        <f t="shared" si="84"/>
        <v>330000</v>
      </c>
      <c r="G190" s="7">
        <v>390000</v>
      </c>
      <c r="H190" s="10">
        <v>60000</v>
      </c>
      <c r="I190" s="2">
        <f t="shared" si="85"/>
        <v>46141</v>
      </c>
      <c r="J190" s="1">
        <f t="shared" ca="1" si="86"/>
        <v>-8</v>
      </c>
      <c r="K190" s="3" t="str">
        <f t="shared" ca="1" si="87"/>
        <v>VENCIDO</v>
      </c>
      <c r="L190" s="1">
        <f t="shared" si="88"/>
        <v>2</v>
      </c>
      <c r="M190" s="1">
        <f t="shared" si="89"/>
        <v>11</v>
      </c>
    </row>
    <row r="191" spans="1:13" x14ac:dyDescent="0.25">
      <c r="A191" s="1" t="s">
        <v>458</v>
      </c>
      <c r="B191" s="2">
        <v>46127</v>
      </c>
      <c r="C191" s="1"/>
      <c r="D191" s="1">
        <v>7</v>
      </c>
      <c r="E191" s="7">
        <v>46000</v>
      </c>
      <c r="F191" s="18">
        <f t="shared" si="84"/>
        <v>1242000</v>
      </c>
      <c r="G191" s="7">
        <v>1380000</v>
      </c>
      <c r="H191" s="10">
        <v>138000</v>
      </c>
      <c r="I191" s="2">
        <f t="shared" si="85"/>
        <v>46148</v>
      </c>
      <c r="J191" s="1">
        <f t="shared" ca="1" si="86"/>
        <v>-1</v>
      </c>
      <c r="K191" s="3" t="str">
        <f t="shared" ca="1" si="87"/>
        <v>VENCIDO</v>
      </c>
      <c r="L191" s="1">
        <f t="shared" si="88"/>
        <v>3</v>
      </c>
      <c r="M191" s="1">
        <f t="shared" si="89"/>
        <v>27</v>
      </c>
    </row>
    <row r="192" spans="1:13" x14ac:dyDescent="0.25">
      <c r="A192" s="1" t="s">
        <v>459</v>
      </c>
      <c r="B192" s="2">
        <v>46127</v>
      </c>
      <c r="C192" s="1"/>
      <c r="D192" s="1">
        <v>7</v>
      </c>
      <c r="E192" s="7">
        <v>15000</v>
      </c>
      <c r="F192" s="18">
        <f t="shared" si="84"/>
        <v>45000</v>
      </c>
      <c r="G192" s="7">
        <v>90000</v>
      </c>
      <c r="H192" s="10">
        <v>45000</v>
      </c>
      <c r="I192" s="2">
        <f t="shared" si="85"/>
        <v>46148</v>
      </c>
      <c r="J192" s="1">
        <f t="shared" ca="1" si="86"/>
        <v>-1</v>
      </c>
      <c r="K192" s="3" t="str">
        <f t="shared" ca="1" si="87"/>
        <v>VENCIDO</v>
      </c>
      <c r="L192" s="1">
        <f t="shared" si="88"/>
        <v>3</v>
      </c>
      <c r="M192" s="1">
        <f t="shared" si="89"/>
        <v>3</v>
      </c>
    </row>
    <row r="193" spans="1:13" x14ac:dyDescent="0.25">
      <c r="A193" s="1" t="s">
        <v>462</v>
      </c>
      <c r="B193" s="2">
        <v>46129</v>
      </c>
      <c r="C193" s="1"/>
      <c r="D193" s="1">
        <v>7</v>
      </c>
      <c r="E193" s="7">
        <v>29000</v>
      </c>
      <c r="F193" s="18">
        <f t="shared" si="84"/>
        <v>406000</v>
      </c>
      <c r="G193" s="7">
        <v>464000</v>
      </c>
      <c r="H193" s="10">
        <v>58000</v>
      </c>
      <c r="I193" s="2">
        <f t="shared" si="85"/>
        <v>46143</v>
      </c>
      <c r="J193" s="1">
        <f t="shared" ca="1" si="86"/>
        <v>-6</v>
      </c>
      <c r="K193" s="3" t="str">
        <f t="shared" ca="1" si="87"/>
        <v>VENCIDO</v>
      </c>
      <c r="L193" s="1">
        <f t="shared" si="88"/>
        <v>2</v>
      </c>
      <c r="M193" s="1">
        <f t="shared" si="89"/>
        <v>14</v>
      </c>
    </row>
    <row r="194" spans="1:13" x14ac:dyDescent="0.25">
      <c r="A194" s="1" t="s">
        <v>464</v>
      </c>
      <c r="B194" s="2">
        <v>46129</v>
      </c>
      <c r="C194" s="1"/>
      <c r="D194" s="1">
        <v>7</v>
      </c>
      <c r="E194" s="7">
        <v>20000</v>
      </c>
      <c r="F194" s="18">
        <f t="shared" si="84"/>
        <v>250000</v>
      </c>
      <c r="G194" s="7">
        <v>320000</v>
      </c>
      <c r="H194" s="10">
        <v>70000</v>
      </c>
      <c r="I194" s="2">
        <f t="shared" si="85"/>
        <v>46150</v>
      </c>
      <c r="J194" s="1">
        <f t="shared" ca="1" si="86"/>
        <v>1</v>
      </c>
      <c r="K194" s="3" t="str">
        <f t="shared" ca="1" si="87"/>
        <v>PRÓXIMO</v>
      </c>
      <c r="L194" s="1">
        <f t="shared" si="88"/>
        <v>3</v>
      </c>
      <c r="M194" s="1">
        <f t="shared" si="89"/>
        <v>13</v>
      </c>
    </row>
    <row r="195" spans="1:13" x14ac:dyDescent="0.25">
      <c r="A195" s="1" t="s">
        <v>465</v>
      </c>
      <c r="B195" s="2">
        <v>46129</v>
      </c>
      <c r="C195" s="1"/>
      <c r="D195" s="1">
        <v>7</v>
      </c>
      <c r="E195" s="7">
        <v>25000</v>
      </c>
      <c r="F195" s="18">
        <f t="shared" si="84"/>
        <v>225000</v>
      </c>
      <c r="G195" s="7">
        <v>300000</v>
      </c>
      <c r="H195" s="10">
        <v>75000</v>
      </c>
      <c r="I195" s="2">
        <f t="shared" si="85"/>
        <v>46150</v>
      </c>
      <c r="J195" s="1">
        <f t="shared" ca="1" si="86"/>
        <v>1</v>
      </c>
      <c r="K195" s="3" t="str">
        <f t="shared" ca="1" si="87"/>
        <v>PRÓXIMO</v>
      </c>
      <c r="L195" s="1">
        <f t="shared" si="88"/>
        <v>3</v>
      </c>
      <c r="M195" s="1">
        <f t="shared" si="89"/>
        <v>9</v>
      </c>
    </row>
    <row r="196" spans="1:13" x14ac:dyDescent="0.25">
      <c r="A196" s="1" t="s">
        <v>469</v>
      </c>
      <c r="B196" s="2">
        <v>46129</v>
      </c>
      <c r="C196" s="1"/>
      <c r="D196" s="1">
        <v>7</v>
      </c>
      <c r="E196" s="7">
        <v>35000</v>
      </c>
      <c r="F196" s="18">
        <f t="shared" si="84"/>
        <v>525000</v>
      </c>
      <c r="G196" s="7">
        <v>630000</v>
      </c>
      <c r="H196" s="10">
        <v>105000</v>
      </c>
      <c r="I196" s="2">
        <f t="shared" si="85"/>
        <v>46150</v>
      </c>
      <c r="J196" s="1">
        <f t="shared" ca="1" si="86"/>
        <v>1</v>
      </c>
      <c r="K196" s="3" t="str">
        <f t="shared" ca="1" si="87"/>
        <v>PRÓXIMO</v>
      </c>
      <c r="L196" s="1">
        <f t="shared" si="88"/>
        <v>3</v>
      </c>
      <c r="M196" s="1">
        <f t="shared" si="89"/>
        <v>15</v>
      </c>
    </row>
    <row r="197" spans="1:13" x14ac:dyDescent="0.25">
      <c r="A197" s="1" t="s">
        <v>473</v>
      </c>
      <c r="B197" s="2">
        <v>46130</v>
      </c>
      <c r="C197" s="1" t="s">
        <v>13</v>
      </c>
      <c r="D197" s="1">
        <v>7</v>
      </c>
      <c r="E197" s="7">
        <v>24000</v>
      </c>
      <c r="F197" s="18">
        <f t="shared" si="84"/>
        <v>144000</v>
      </c>
      <c r="G197" s="7">
        <v>192000</v>
      </c>
      <c r="H197" s="10">
        <v>48000</v>
      </c>
      <c r="I197" s="2">
        <f t="shared" si="85"/>
        <v>46151</v>
      </c>
      <c r="J197" s="1">
        <f t="shared" ca="1" si="86"/>
        <v>2</v>
      </c>
      <c r="K197" s="3" t="str">
        <f t="shared" ca="1" si="87"/>
        <v>VIGENTE</v>
      </c>
      <c r="L197" s="1">
        <f t="shared" si="88"/>
        <v>2</v>
      </c>
      <c r="M197" s="1">
        <f t="shared" si="89"/>
        <v>6</v>
      </c>
    </row>
    <row r="198" spans="1:13" x14ac:dyDescent="0.25">
      <c r="A198" s="1" t="s">
        <v>474</v>
      </c>
      <c r="B198" s="2">
        <v>46130</v>
      </c>
      <c r="C198" s="1"/>
      <c r="D198" s="1">
        <v>7</v>
      </c>
      <c r="E198" s="7">
        <v>29000</v>
      </c>
      <c r="F198" s="18">
        <f t="shared" si="84"/>
        <v>377000</v>
      </c>
      <c r="G198" s="7">
        <v>464000</v>
      </c>
      <c r="H198" s="10">
        <v>87000</v>
      </c>
      <c r="I198" s="2">
        <f t="shared" si="85"/>
        <v>46151</v>
      </c>
      <c r="J198" s="1">
        <f t="shared" ca="1" si="86"/>
        <v>2</v>
      </c>
      <c r="K198" s="3" t="str">
        <f t="shared" ca="1" si="87"/>
        <v>VIGENTE</v>
      </c>
      <c r="L198" s="1">
        <f t="shared" si="88"/>
        <v>3</v>
      </c>
      <c r="M198" s="1">
        <f t="shared" si="89"/>
        <v>13</v>
      </c>
    </row>
    <row r="199" spans="1:13" x14ac:dyDescent="0.25">
      <c r="A199" s="1" t="s">
        <v>475</v>
      </c>
      <c r="B199" s="2">
        <v>46130</v>
      </c>
      <c r="C199" s="1"/>
      <c r="D199" s="1">
        <v>7</v>
      </c>
      <c r="E199" s="7">
        <v>28000</v>
      </c>
      <c r="F199" s="18">
        <f t="shared" si="84"/>
        <v>420000</v>
      </c>
      <c r="G199" s="7">
        <v>504000</v>
      </c>
      <c r="H199" s="10">
        <v>84000</v>
      </c>
      <c r="I199" s="2">
        <f t="shared" si="85"/>
        <v>46151</v>
      </c>
      <c r="J199" s="1">
        <f t="shared" ca="1" si="86"/>
        <v>2</v>
      </c>
      <c r="K199" s="3" t="str">
        <f t="shared" ca="1" si="87"/>
        <v>VIGENTE</v>
      </c>
      <c r="L199" s="1">
        <f t="shared" si="88"/>
        <v>3</v>
      </c>
      <c r="M199" s="1">
        <f t="shared" si="89"/>
        <v>15</v>
      </c>
    </row>
    <row r="200" spans="1:13" x14ac:dyDescent="0.25">
      <c r="A200" s="1" t="s">
        <v>476</v>
      </c>
      <c r="B200" s="2">
        <v>46130</v>
      </c>
      <c r="C200" s="1"/>
      <c r="D200" s="1">
        <v>7</v>
      </c>
      <c r="E200" s="7">
        <v>20000</v>
      </c>
      <c r="F200" s="18">
        <f t="shared" si="84"/>
        <v>160000</v>
      </c>
      <c r="G200" s="7">
        <v>200000</v>
      </c>
      <c r="H200" s="10">
        <v>40000</v>
      </c>
      <c r="I200" s="2">
        <f t="shared" si="85"/>
        <v>46144</v>
      </c>
      <c r="J200" s="1">
        <f t="shared" ca="1" si="86"/>
        <v>-5</v>
      </c>
      <c r="K200" s="3" t="str">
        <f t="shared" ca="1" si="87"/>
        <v>VENCIDO</v>
      </c>
      <c r="L200" s="1">
        <f t="shared" si="88"/>
        <v>2</v>
      </c>
      <c r="M200" s="1">
        <f t="shared" si="89"/>
        <v>8</v>
      </c>
    </row>
    <row r="201" spans="1:13" x14ac:dyDescent="0.25">
      <c r="A201" s="1" t="s">
        <v>490</v>
      </c>
      <c r="B201" s="2">
        <v>46133</v>
      </c>
      <c r="C201" s="1"/>
      <c r="D201" s="1">
        <v>7</v>
      </c>
      <c r="E201" s="7">
        <v>40000</v>
      </c>
      <c r="F201" s="18">
        <f t="shared" si="84"/>
        <v>800000</v>
      </c>
      <c r="G201" s="7">
        <v>960000</v>
      </c>
      <c r="H201" s="10">
        <v>160000</v>
      </c>
      <c r="I201" s="2">
        <f t="shared" si="85"/>
        <v>46161</v>
      </c>
      <c r="J201" s="1">
        <f t="shared" ca="1" si="86"/>
        <v>12</v>
      </c>
      <c r="K201" s="3" t="str">
        <f t="shared" ca="1" si="87"/>
        <v>VIGENTE</v>
      </c>
      <c r="L201" s="1">
        <f t="shared" si="88"/>
        <v>4</v>
      </c>
      <c r="M201" s="1">
        <f t="shared" si="89"/>
        <v>20</v>
      </c>
    </row>
    <row r="202" spans="1:13" x14ac:dyDescent="0.25">
      <c r="A202" s="1" t="s">
        <v>491</v>
      </c>
      <c r="B202" s="2">
        <v>46133</v>
      </c>
      <c r="C202" s="1"/>
      <c r="D202" s="1">
        <v>7</v>
      </c>
      <c r="E202" s="7">
        <v>14000</v>
      </c>
      <c r="F202" s="18">
        <f t="shared" si="84"/>
        <v>27000</v>
      </c>
      <c r="G202" s="7">
        <v>70000</v>
      </c>
      <c r="H202" s="10">
        <v>43000</v>
      </c>
      <c r="I202" s="2">
        <f t="shared" si="85"/>
        <v>46154</v>
      </c>
      <c r="J202" s="1">
        <f t="shared" ca="1" si="86"/>
        <v>5</v>
      </c>
      <c r="K202" s="3" t="str">
        <f t="shared" ca="1" si="87"/>
        <v>VIGENTE</v>
      </c>
      <c r="L202" s="1">
        <f t="shared" si="88"/>
        <v>3</v>
      </c>
      <c r="M202" s="1">
        <f t="shared" si="89"/>
        <v>2</v>
      </c>
    </row>
    <row r="203" spans="1:13" x14ac:dyDescent="0.25">
      <c r="A203" s="1" t="s">
        <v>494</v>
      </c>
      <c r="B203" s="2">
        <v>46133</v>
      </c>
      <c r="C203" s="1"/>
      <c r="D203" s="1">
        <v>7</v>
      </c>
      <c r="E203" s="7">
        <v>25000</v>
      </c>
      <c r="F203" s="18">
        <f t="shared" si="84"/>
        <v>250000</v>
      </c>
      <c r="G203" s="7">
        <v>300000</v>
      </c>
      <c r="H203" s="10">
        <v>50000</v>
      </c>
      <c r="I203" s="2">
        <f t="shared" si="85"/>
        <v>46147</v>
      </c>
      <c r="J203" s="1">
        <f t="shared" ca="1" si="86"/>
        <v>-2</v>
      </c>
      <c r="K203" s="3" t="str">
        <f t="shared" ca="1" si="87"/>
        <v>VENCIDO</v>
      </c>
      <c r="L203" s="1">
        <f t="shared" si="88"/>
        <v>2</v>
      </c>
      <c r="M203" s="1">
        <f t="shared" si="89"/>
        <v>10</v>
      </c>
    </row>
    <row r="204" spans="1:13" x14ac:dyDescent="0.25">
      <c r="A204" s="1" t="s">
        <v>495</v>
      </c>
      <c r="B204" s="2">
        <v>46133</v>
      </c>
      <c r="C204" s="1"/>
      <c r="D204" s="1">
        <v>7</v>
      </c>
      <c r="E204" s="7">
        <v>25000</v>
      </c>
      <c r="F204" s="18">
        <f t="shared" si="84"/>
        <v>350000</v>
      </c>
      <c r="G204" s="7">
        <v>400000</v>
      </c>
      <c r="H204" s="10">
        <v>50000</v>
      </c>
      <c r="I204" s="2">
        <f t="shared" si="85"/>
        <v>46147</v>
      </c>
      <c r="J204" s="1">
        <f t="shared" ca="1" si="86"/>
        <v>-2</v>
      </c>
      <c r="K204" s="3" t="str">
        <f t="shared" ca="1" si="87"/>
        <v>VENCIDO</v>
      </c>
      <c r="L204" s="1">
        <f t="shared" si="88"/>
        <v>2</v>
      </c>
      <c r="M204" s="1">
        <f t="shared" si="89"/>
        <v>14</v>
      </c>
    </row>
    <row r="205" spans="1:13" x14ac:dyDescent="0.25">
      <c r="A205" s="1" t="s">
        <v>499</v>
      </c>
      <c r="B205" s="2">
        <v>46134</v>
      </c>
      <c r="C205" s="1" t="s">
        <v>13</v>
      </c>
      <c r="D205" s="1">
        <v>7</v>
      </c>
      <c r="E205" s="7">
        <v>95000</v>
      </c>
      <c r="F205" s="18">
        <f t="shared" si="84"/>
        <v>760000</v>
      </c>
      <c r="G205" s="7">
        <v>950000</v>
      </c>
      <c r="H205" s="10">
        <v>190000</v>
      </c>
      <c r="I205" s="2">
        <f t="shared" si="85"/>
        <v>46155</v>
      </c>
      <c r="J205" s="1">
        <f t="shared" ca="1" si="86"/>
        <v>6</v>
      </c>
      <c r="K205" s="3" t="str">
        <f t="shared" ca="1" si="87"/>
        <v>VIGENTE</v>
      </c>
      <c r="L205" s="1">
        <f t="shared" si="88"/>
        <v>2</v>
      </c>
      <c r="M205" s="1">
        <f t="shared" si="89"/>
        <v>8</v>
      </c>
    </row>
    <row r="206" spans="1:13" x14ac:dyDescent="0.25">
      <c r="A206" s="1" t="s">
        <v>503</v>
      </c>
      <c r="B206" s="2">
        <v>46134</v>
      </c>
      <c r="C206" s="1" t="s">
        <v>13</v>
      </c>
      <c r="D206" s="1">
        <v>7</v>
      </c>
      <c r="E206" s="7">
        <v>38000</v>
      </c>
      <c r="F206" s="18">
        <f t="shared" si="84"/>
        <v>342000</v>
      </c>
      <c r="G206" s="7">
        <v>380000</v>
      </c>
      <c r="H206" s="10">
        <v>38000</v>
      </c>
      <c r="I206" s="2">
        <f t="shared" si="85"/>
        <v>46148</v>
      </c>
      <c r="J206" s="1">
        <f t="shared" ca="1" si="86"/>
        <v>-1</v>
      </c>
      <c r="K206" s="3" t="str">
        <f t="shared" ca="1" si="87"/>
        <v>VENCIDO</v>
      </c>
      <c r="L206" s="1">
        <f t="shared" si="88"/>
        <v>1</v>
      </c>
      <c r="M206" s="1">
        <f t="shared" si="89"/>
        <v>9</v>
      </c>
    </row>
    <row r="207" spans="1:13" x14ac:dyDescent="0.25">
      <c r="A207" s="1" t="s">
        <v>567</v>
      </c>
      <c r="B207" s="2">
        <v>46137</v>
      </c>
      <c r="C207" s="1"/>
      <c r="D207" s="1">
        <v>7</v>
      </c>
      <c r="E207" s="7">
        <v>58000</v>
      </c>
      <c r="F207" s="18">
        <f t="shared" si="84"/>
        <v>696000</v>
      </c>
      <c r="G207" s="7">
        <v>812000</v>
      </c>
      <c r="H207" s="10">
        <v>116000</v>
      </c>
      <c r="I207" s="2">
        <f t="shared" si="85"/>
        <v>46151</v>
      </c>
      <c r="J207" s="1">
        <f t="shared" ca="1" si="86"/>
        <v>2</v>
      </c>
      <c r="K207" s="3" t="str">
        <f t="shared" ca="1" si="87"/>
        <v>VIGENTE</v>
      </c>
      <c r="L207" s="1">
        <f t="shared" si="88"/>
        <v>2</v>
      </c>
      <c r="M207" s="1">
        <f t="shared" si="89"/>
        <v>12</v>
      </c>
    </row>
    <row r="208" spans="1:13" x14ac:dyDescent="0.25">
      <c r="A208" s="1" t="s">
        <v>516</v>
      </c>
      <c r="B208" s="2">
        <v>46137</v>
      </c>
      <c r="C208" s="1"/>
      <c r="D208" s="1">
        <v>7</v>
      </c>
      <c r="E208" s="7">
        <v>30000</v>
      </c>
      <c r="F208" s="18">
        <f t="shared" si="84"/>
        <v>330000</v>
      </c>
      <c r="G208" s="7">
        <v>390000</v>
      </c>
      <c r="H208" s="10">
        <v>60000</v>
      </c>
      <c r="I208" s="2">
        <f t="shared" si="85"/>
        <v>46151</v>
      </c>
      <c r="J208" s="1">
        <f t="shared" ca="1" si="86"/>
        <v>2</v>
      </c>
      <c r="K208" s="3" t="str">
        <f t="shared" ca="1" si="87"/>
        <v>VIGENTE</v>
      </c>
      <c r="L208" s="1">
        <f t="shared" si="88"/>
        <v>2</v>
      </c>
      <c r="M208" s="1">
        <f t="shared" si="89"/>
        <v>11</v>
      </c>
    </row>
    <row r="209" spans="1:13" x14ac:dyDescent="0.25">
      <c r="A209" s="1" t="s">
        <v>517</v>
      </c>
      <c r="B209" s="2">
        <v>46137</v>
      </c>
      <c r="C209" s="1"/>
      <c r="D209" s="1">
        <v>7</v>
      </c>
      <c r="E209" s="7">
        <v>28000</v>
      </c>
      <c r="F209" s="18">
        <f t="shared" si="84"/>
        <v>420000</v>
      </c>
      <c r="G209" s="7">
        <v>448000</v>
      </c>
      <c r="H209" s="10">
        <v>28000</v>
      </c>
      <c r="I209" s="2">
        <f t="shared" si="85"/>
        <v>46144</v>
      </c>
      <c r="J209" s="1">
        <f t="shared" ca="1" si="86"/>
        <v>-5</v>
      </c>
      <c r="K209" s="3" t="str">
        <f t="shared" ca="1" si="87"/>
        <v>VENCIDO</v>
      </c>
      <c r="L209" s="1">
        <f t="shared" si="88"/>
        <v>1</v>
      </c>
      <c r="M209" s="1">
        <f t="shared" si="89"/>
        <v>15</v>
      </c>
    </row>
    <row r="210" spans="1:13" x14ac:dyDescent="0.25">
      <c r="A210" s="1" t="s">
        <v>518</v>
      </c>
      <c r="B210" s="2">
        <v>46137</v>
      </c>
      <c r="C210" s="1"/>
      <c r="D210" s="1">
        <v>7</v>
      </c>
      <c r="E210" s="7">
        <v>23000</v>
      </c>
      <c r="F210" s="18">
        <f t="shared" si="84"/>
        <v>184000</v>
      </c>
      <c r="G210" s="7">
        <v>230000</v>
      </c>
      <c r="H210" s="10">
        <v>46000</v>
      </c>
      <c r="I210" s="2">
        <f t="shared" si="85"/>
        <v>46151</v>
      </c>
      <c r="J210" s="1">
        <f t="shared" ca="1" si="86"/>
        <v>2</v>
      </c>
      <c r="K210" s="3" t="str">
        <f t="shared" ca="1" si="87"/>
        <v>VIGENTE</v>
      </c>
      <c r="L210" s="1">
        <f t="shared" si="88"/>
        <v>2</v>
      </c>
      <c r="M210" s="1">
        <f t="shared" si="89"/>
        <v>8</v>
      </c>
    </row>
    <row r="211" spans="1:13" x14ac:dyDescent="0.25">
      <c r="A211" s="1" t="s">
        <v>483</v>
      </c>
      <c r="B211" s="2">
        <v>46132</v>
      </c>
      <c r="C211" s="1"/>
      <c r="D211" s="1">
        <v>7</v>
      </c>
      <c r="E211" s="7">
        <v>30000</v>
      </c>
      <c r="F211" s="18">
        <f t="shared" si="84"/>
        <v>540000</v>
      </c>
      <c r="G211" s="7">
        <v>600000</v>
      </c>
      <c r="H211" s="10">
        <v>60000</v>
      </c>
      <c r="I211" s="2">
        <f t="shared" si="85"/>
        <v>46146</v>
      </c>
      <c r="J211" s="1">
        <f t="shared" ca="1" si="86"/>
        <v>-3</v>
      </c>
      <c r="K211" s="3" t="str">
        <f t="shared" ca="1" si="87"/>
        <v>VENCIDO</v>
      </c>
      <c r="L211" s="1">
        <f t="shared" si="88"/>
        <v>2</v>
      </c>
      <c r="M211" s="1">
        <f t="shared" si="89"/>
        <v>18</v>
      </c>
    </row>
    <row r="212" spans="1:13" x14ac:dyDescent="0.25">
      <c r="A212" s="1" t="s">
        <v>189</v>
      </c>
      <c r="B212" s="2">
        <v>46137</v>
      </c>
      <c r="C212" s="1"/>
      <c r="D212" s="1">
        <v>7</v>
      </c>
      <c r="E212" s="7">
        <v>76000</v>
      </c>
      <c r="F212" s="18">
        <f t="shared" si="84"/>
        <v>760000</v>
      </c>
      <c r="G212" s="7">
        <v>760000</v>
      </c>
      <c r="H212" s="10"/>
      <c r="I212" s="2">
        <f t="shared" si="85"/>
        <v>46137</v>
      </c>
      <c r="J212" s="1">
        <f t="shared" ca="1" si="86"/>
        <v>-12</v>
      </c>
      <c r="K212" s="3" t="str">
        <f t="shared" ca="1" si="87"/>
        <v>VENCIDO</v>
      </c>
      <c r="L212" s="1">
        <f t="shared" si="88"/>
        <v>0</v>
      </c>
      <c r="M212" s="1">
        <f t="shared" si="89"/>
        <v>10</v>
      </c>
    </row>
    <row r="213" spans="1:13" x14ac:dyDescent="0.25">
      <c r="A213" s="1" t="s">
        <v>522</v>
      </c>
      <c r="B213" s="2">
        <v>46137</v>
      </c>
      <c r="C213" s="1"/>
      <c r="D213" s="1">
        <v>7</v>
      </c>
      <c r="E213" s="7">
        <v>28000</v>
      </c>
      <c r="F213" s="18">
        <f t="shared" si="84"/>
        <v>446000</v>
      </c>
      <c r="G213" s="7">
        <v>504000</v>
      </c>
      <c r="H213" s="10">
        <v>58000</v>
      </c>
      <c r="I213" s="2">
        <f t="shared" si="85"/>
        <v>46151</v>
      </c>
      <c r="J213" s="1">
        <f t="shared" ca="1" si="86"/>
        <v>2</v>
      </c>
      <c r="K213" s="3" t="str">
        <f t="shared" ca="1" si="87"/>
        <v>VIGENTE</v>
      </c>
      <c r="L213" s="1">
        <f t="shared" si="88"/>
        <v>2</v>
      </c>
      <c r="M213" s="1">
        <f t="shared" si="89"/>
        <v>16</v>
      </c>
    </row>
    <row r="214" spans="1:13" x14ac:dyDescent="0.25">
      <c r="A214" s="1" t="s">
        <v>524</v>
      </c>
      <c r="B214" s="2">
        <v>46137</v>
      </c>
      <c r="C214" s="1" t="s">
        <v>13</v>
      </c>
      <c r="D214" s="1">
        <v>7</v>
      </c>
      <c r="E214" s="7">
        <v>57000</v>
      </c>
      <c r="F214" s="18">
        <f t="shared" si="84"/>
        <v>513000</v>
      </c>
      <c r="G214" s="7">
        <v>570000</v>
      </c>
      <c r="H214" s="10">
        <v>57000</v>
      </c>
      <c r="I214" s="2">
        <f t="shared" si="85"/>
        <v>46151</v>
      </c>
      <c r="J214" s="1">
        <f t="shared" ca="1" si="86"/>
        <v>2</v>
      </c>
      <c r="K214" s="3" t="str">
        <f t="shared" ca="1" si="87"/>
        <v>VIGENTE</v>
      </c>
      <c r="L214" s="1">
        <f t="shared" si="88"/>
        <v>1</v>
      </c>
      <c r="M214" s="1">
        <f t="shared" si="89"/>
        <v>9</v>
      </c>
    </row>
    <row r="215" spans="1:13" x14ac:dyDescent="0.25">
      <c r="A215" s="1" t="s">
        <v>527</v>
      </c>
      <c r="B215" s="2">
        <v>46131</v>
      </c>
      <c r="C215" s="1" t="s">
        <v>13</v>
      </c>
      <c r="D215" s="1">
        <v>7</v>
      </c>
      <c r="E215" s="7">
        <v>38000</v>
      </c>
      <c r="F215" s="18">
        <f t="shared" si="84"/>
        <v>304000</v>
      </c>
      <c r="G215" s="7">
        <v>380000</v>
      </c>
      <c r="H215" s="10">
        <v>76000</v>
      </c>
      <c r="I215" s="2">
        <f t="shared" si="85"/>
        <v>46152</v>
      </c>
      <c r="J215" s="1">
        <f t="shared" ca="1" si="86"/>
        <v>3</v>
      </c>
      <c r="K215" s="3" t="str">
        <f t="shared" ca="1" si="87"/>
        <v>VIGENTE</v>
      </c>
      <c r="L215" s="1">
        <f t="shared" si="88"/>
        <v>2</v>
      </c>
      <c r="M215" s="1">
        <f t="shared" si="89"/>
        <v>8</v>
      </c>
    </row>
    <row r="216" spans="1:13" x14ac:dyDescent="0.25">
      <c r="A216" s="1" t="s">
        <v>528</v>
      </c>
      <c r="B216" s="2">
        <v>46139</v>
      </c>
      <c r="C216" s="1" t="s">
        <v>13</v>
      </c>
      <c r="D216" s="1">
        <v>7</v>
      </c>
      <c r="E216" s="7">
        <v>38000</v>
      </c>
      <c r="F216" s="18">
        <f t="shared" si="84"/>
        <v>342000</v>
      </c>
      <c r="G216" s="7">
        <v>380000</v>
      </c>
      <c r="H216" s="10">
        <v>38000</v>
      </c>
      <c r="I216" s="2">
        <f t="shared" si="85"/>
        <v>46153</v>
      </c>
      <c r="J216" s="1">
        <f t="shared" ca="1" si="86"/>
        <v>4</v>
      </c>
      <c r="K216" s="3" t="str">
        <f t="shared" ca="1" si="87"/>
        <v>VIGENTE</v>
      </c>
      <c r="L216" s="1">
        <f t="shared" si="88"/>
        <v>1</v>
      </c>
      <c r="M216" s="1">
        <f t="shared" si="89"/>
        <v>9</v>
      </c>
    </row>
    <row r="217" spans="1:13" x14ac:dyDescent="0.25">
      <c r="A217" s="1" t="s">
        <v>535</v>
      </c>
      <c r="B217" s="2">
        <v>46137</v>
      </c>
      <c r="C217" s="1"/>
      <c r="D217" s="1">
        <v>7</v>
      </c>
      <c r="E217" s="7">
        <v>40000</v>
      </c>
      <c r="F217" s="18">
        <f t="shared" si="84"/>
        <v>1040000</v>
      </c>
      <c r="G217" s="7">
        <v>1120000</v>
      </c>
      <c r="H217" s="10">
        <v>80000</v>
      </c>
      <c r="I217" s="2">
        <f t="shared" si="85"/>
        <v>46151</v>
      </c>
      <c r="J217" s="1">
        <f t="shared" ca="1" si="86"/>
        <v>2</v>
      </c>
      <c r="K217" s="3" t="str">
        <f t="shared" ca="1" si="87"/>
        <v>VIGENTE</v>
      </c>
      <c r="L217" s="1">
        <f t="shared" si="88"/>
        <v>2</v>
      </c>
      <c r="M217" s="1">
        <f t="shared" si="89"/>
        <v>26</v>
      </c>
    </row>
    <row r="218" spans="1:13" x14ac:dyDescent="0.25">
      <c r="A218" s="1" t="s">
        <v>536</v>
      </c>
      <c r="B218" s="2">
        <v>46139</v>
      </c>
      <c r="C218" s="1"/>
      <c r="D218" s="1">
        <v>7</v>
      </c>
      <c r="E218" s="7">
        <v>28000</v>
      </c>
      <c r="F218" s="18">
        <f t="shared" si="84"/>
        <v>112000</v>
      </c>
      <c r="G218" s="7">
        <v>140000</v>
      </c>
      <c r="H218" s="10">
        <v>28000</v>
      </c>
      <c r="I218" s="2">
        <f t="shared" si="85"/>
        <v>46146</v>
      </c>
      <c r="J218" s="1">
        <f t="shared" ca="1" si="86"/>
        <v>-3</v>
      </c>
      <c r="K218" s="3" t="str">
        <f t="shared" ca="1" si="87"/>
        <v>VENCIDO</v>
      </c>
      <c r="L218" s="1">
        <f t="shared" si="88"/>
        <v>1</v>
      </c>
      <c r="M218" s="1">
        <f t="shared" si="89"/>
        <v>4</v>
      </c>
    </row>
    <row r="219" spans="1:13" x14ac:dyDescent="0.25">
      <c r="A219" s="1" t="s">
        <v>300</v>
      </c>
      <c r="B219" s="2">
        <v>46139</v>
      </c>
      <c r="C219" s="1" t="s">
        <v>13</v>
      </c>
      <c r="D219" s="1">
        <v>7</v>
      </c>
      <c r="E219" s="7">
        <v>48000</v>
      </c>
      <c r="F219" s="18">
        <f t="shared" si="84"/>
        <v>432000</v>
      </c>
      <c r="G219" s="7">
        <v>480000</v>
      </c>
      <c r="H219" s="10">
        <v>48000</v>
      </c>
      <c r="I219" s="2">
        <f t="shared" si="85"/>
        <v>46153</v>
      </c>
      <c r="J219" s="1">
        <f t="shared" ca="1" si="86"/>
        <v>4</v>
      </c>
      <c r="K219" s="3" t="str">
        <f t="shared" ca="1" si="87"/>
        <v>VIGENTE</v>
      </c>
      <c r="L219" s="1">
        <f t="shared" si="88"/>
        <v>1</v>
      </c>
      <c r="M219" s="1">
        <f t="shared" si="89"/>
        <v>9</v>
      </c>
    </row>
    <row r="220" spans="1:13" x14ac:dyDescent="0.25">
      <c r="A220" s="1" t="s">
        <v>542</v>
      </c>
      <c r="B220" s="2">
        <v>46140</v>
      </c>
      <c r="C220" s="1"/>
      <c r="D220" s="1">
        <v>7</v>
      </c>
      <c r="E220" s="7">
        <v>15000</v>
      </c>
      <c r="F220" s="18">
        <f t="shared" si="84"/>
        <v>120000</v>
      </c>
      <c r="G220" s="7">
        <v>150000</v>
      </c>
      <c r="H220" s="10">
        <v>30000</v>
      </c>
      <c r="I220" s="2">
        <f t="shared" si="85"/>
        <v>46154</v>
      </c>
      <c r="J220" s="1">
        <f t="shared" ca="1" si="86"/>
        <v>5</v>
      </c>
      <c r="K220" s="3" t="str">
        <f t="shared" ca="1" si="87"/>
        <v>VIGENTE</v>
      </c>
      <c r="L220" s="1">
        <f t="shared" si="88"/>
        <v>2</v>
      </c>
      <c r="M220" s="1">
        <f t="shared" si="89"/>
        <v>8</v>
      </c>
    </row>
    <row r="221" spans="1:13" x14ac:dyDescent="0.25">
      <c r="A221" s="1" t="s">
        <v>543</v>
      </c>
      <c r="B221" s="2">
        <v>46140</v>
      </c>
      <c r="C221" s="1" t="s">
        <v>13</v>
      </c>
      <c r="D221" s="1">
        <v>7</v>
      </c>
      <c r="E221" s="7">
        <v>95000</v>
      </c>
      <c r="F221" s="18">
        <f t="shared" si="84"/>
        <v>950000</v>
      </c>
      <c r="G221" s="7">
        <v>950000</v>
      </c>
      <c r="H221" s="10"/>
      <c r="I221" s="2">
        <f t="shared" si="85"/>
        <v>46147</v>
      </c>
      <c r="J221" s="1">
        <f t="shared" ca="1" si="86"/>
        <v>-2</v>
      </c>
      <c r="K221" s="3" t="str">
        <f t="shared" ca="1" si="87"/>
        <v>VENCIDO</v>
      </c>
      <c r="L221" s="1">
        <f t="shared" si="88"/>
        <v>0</v>
      </c>
      <c r="M221" s="1">
        <f t="shared" si="89"/>
        <v>10</v>
      </c>
    </row>
    <row r="222" spans="1:13" x14ac:dyDescent="0.25">
      <c r="A222" s="1" t="s">
        <v>545</v>
      </c>
      <c r="B222" s="2">
        <v>46146</v>
      </c>
      <c r="C222" s="1"/>
      <c r="D222" s="1">
        <v>7</v>
      </c>
      <c r="E222" s="7">
        <v>115000</v>
      </c>
      <c r="F222" s="18">
        <f t="shared" si="84"/>
        <v>115000</v>
      </c>
      <c r="G222" s="7">
        <v>230000</v>
      </c>
      <c r="H222" s="10">
        <v>115000</v>
      </c>
      <c r="I222" s="2">
        <f t="shared" si="85"/>
        <v>46153</v>
      </c>
      <c r="J222" s="1">
        <f t="shared" ca="1" si="86"/>
        <v>4</v>
      </c>
      <c r="K222" s="3" t="str">
        <f t="shared" ca="1" si="87"/>
        <v>VIGENTE</v>
      </c>
      <c r="L222" s="1">
        <f t="shared" si="88"/>
        <v>1</v>
      </c>
      <c r="M222" s="1">
        <f t="shared" si="89"/>
        <v>1</v>
      </c>
    </row>
    <row r="223" spans="1:13" x14ac:dyDescent="0.25">
      <c r="A223" s="1" t="s">
        <v>546</v>
      </c>
      <c r="B223" s="2">
        <v>46140</v>
      </c>
      <c r="C223" s="1"/>
      <c r="D223" s="1">
        <v>15</v>
      </c>
      <c r="E223" s="7">
        <v>56000</v>
      </c>
      <c r="F223" s="18">
        <f t="shared" si="84"/>
        <v>504000</v>
      </c>
      <c r="G223" s="7">
        <v>504000</v>
      </c>
      <c r="H223" s="10"/>
      <c r="I223" s="2">
        <f t="shared" si="85"/>
        <v>46140</v>
      </c>
      <c r="J223" s="1">
        <f t="shared" ca="1" si="86"/>
        <v>-9</v>
      </c>
      <c r="K223" s="3" t="str">
        <f t="shared" ca="1" si="87"/>
        <v>VENCIDO</v>
      </c>
      <c r="L223" s="1">
        <f t="shared" si="88"/>
        <v>0</v>
      </c>
      <c r="M223" s="1">
        <f t="shared" si="89"/>
        <v>9</v>
      </c>
    </row>
    <row r="224" spans="1:13" x14ac:dyDescent="0.25">
      <c r="A224" s="1" t="s">
        <v>548</v>
      </c>
      <c r="B224" s="2">
        <v>46140</v>
      </c>
      <c r="C224" s="1"/>
      <c r="D224" s="1">
        <v>7</v>
      </c>
      <c r="E224" s="7">
        <v>26000</v>
      </c>
      <c r="F224" s="18">
        <f t="shared" si="84"/>
        <v>260000</v>
      </c>
      <c r="G224" s="7">
        <v>260000</v>
      </c>
      <c r="H224" s="10"/>
      <c r="I224" s="2">
        <f t="shared" si="85"/>
        <v>46140</v>
      </c>
      <c r="J224" s="1">
        <f t="shared" ca="1" si="86"/>
        <v>-9</v>
      </c>
      <c r="K224" s="3" t="str">
        <f t="shared" ca="1" si="87"/>
        <v>VENCIDO</v>
      </c>
      <c r="L224" s="1">
        <f t="shared" si="88"/>
        <v>0</v>
      </c>
      <c r="M224" s="1">
        <f t="shared" si="89"/>
        <v>10</v>
      </c>
    </row>
    <row r="225" spans="1:13" x14ac:dyDescent="0.25">
      <c r="A225" s="1" t="s">
        <v>551</v>
      </c>
      <c r="B225" s="2">
        <v>46141</v>
      </c>
      <c r="C225" s="1"/>
      <c r="D225" s="1">
        <v>7</v>
      </c>
      <c r="E225" s="7">
        <v>58000</v>
      </c>
      <c r="F225" s="18">
        <f t="shared" si="84"/>
        <v>1160000</v>
      </c>
      <c r="G225" s="7">
        <v>1160000</v>
      </c>
      <c r="H225" s="10"/>
      <c r="I225" s="2">
        <f t="shared" si="85"/>
        <v>46141</v>
      </c>
      <c r="J225" s="1">
        <f t="shared" ca="1" si="86"/>
        <v>-8</v>
      </c>
      <c r="K225" s="3" t="str">
        <f t="shared" ca="1" si="87"/>
        <v>VENCIDO</v>
      </c>
      <c r="L225" s="1">
        <f t="shared" si="88"/>
        <v>0</v>
      </c>
      <c r="M225" s="1">
        <f t="shared" si="89"/>
        <v>20</v>
      </c>
    </row>
    <row r="226" spans="1:13" x14ac:dyDescent="0.25">
      <c r="A226" s="1" t="s">
        <v>556</v>
      </c>
      <c r="B226" s="2">
        <v>46142</v>
      </c>
      <c r="C226" s="1"/>
      <c r="D226" s="1">
        <v>7</v>
      </c>
      <c r="E226" s="7">
        <v>40000</v>
      </c>
      <c r="F226" s="18">
        <f t="shared" si="84"/>
        <v>560000</v>
      </c>
      <c r="G226" s="7">
        <v>560000</v>
      </c>
      <c r="H226" s="10"/>
      <c r="I226" s="2">
        <f t="shared" si="85"/>
        <v>46142</v>
      </c>
      <c r="J226" s="1">
        <f t="shared" ca="1" si="86"/>
        <v>-7</v>
      </c>
      <c r="K226" s="3" t="str">
        <f t="shared" ca="1" si="87"/>
        <v>VENCIDO</v>
      </c>
      <c r="L226" s="1">
        <f t="shared" si="88"/>
        <v>0</v>
      </c>
      <c r="M226" s="1">
        <f t="shared" si="89"/>
        <v>14</v>
      </c>
    </row>
    <row r="227" spans="1:13" x14ac:dyDescent="0.25">
      <c r="A227" s="1" t="s">
        <v>558</v>
      </c>
      <c r="B227" s="2">
        <v>46142</v>
      </c>
      <c r="C227" s="1"/>
      <c r="D227" s="1">
        <v>7</v>
      </c>
      <c r="E227" s="7">
        <v>55000</v>
      </c>
      <c r="F227" s="18">
        <f t="shared" si="84"/>
        <v>55000</v>
      </c>
      <c r="G227" s="7">
        <v>110000</v>
      </c>
      <c r="H227" s="10">
        <v>55000</v>
      </c>
      <c r="I227" s="2">
        <f t="shared" si="85"/>
        <v>46149</v>
      </c>
      <c r="J227" s="1">
        <f t="shared" ca="1" si="86"/>
        <v>0</v>
      </c>
      <c r="K227" s="3" t="str">
        <f t="shared" ca="1" si="87"/>
        <v>PRÓXIMO</v>
      </c>
      <c r="L227" s="1">
        <f t="shared" si="88"/>
        <v>1</v>
      </c>
      <c r="M227" s="1">
        <f t="shared" si="89"/>
        <v>1</v>
      </c>
    </row>
    <row r="228" spans="1:13" x14ac:dyDescent="0.25">
      <c r="A228" s="1" t="s">
        <v>560</v>
      </c>
      <c r="B228" s="2">
        <v>46142</v>
      </c>
      <c r="C228" s="1"/>
      <c r="D228" s="1">
        <v>7</v>
      </c>
      <c r="E228" s="7">
        <v>23000</v>
      </c>
      <c r="F228" s="18">
        <f t="shared" si="84"/>
        <v>391000</v>
      </c>
      <c r="G228" s="7">
        <v>414000</v>
      </c>
      <c r="H228" s="10">
        <v>23000</v>
      </c>
      <c r="I228" s="2">
        <f t="shared" si="85"/>
        <v>46149</v>
      </c>
      <c r="J228" s="1">
        <f t="shared" ca="1" si="86"/>
        <v>0</v>
      </c>
      <c r="K228" s="3" t="str">
        <f t="shared" ca="1" si="87"/>
        <v>PRÓXIMO</v>
      </c>
      <c r="L228" s="1">
        <f t="shared" si="88"/>
        <v>1</v>
      </c>
      <c r="M228" s="1">
        <f t="shared" si="89"/>
        <v>17</v>
      </c>
    </row>
    <row r="229" spans="1:13" x14ac:dyDescent="0.25">
      <c r="A229" s="1" t="s">
        <v>561</v>
      </c>
      <c r="B229" s="2">
        <v>46142</v>
      </c>
      <c r="C229" s="1"/>
      <c r="D229" s="1">
        <v>7</v>
      </c>
      <c r="E229" s="7">
        <v>15000</v>
      </c>
      <c r="F229" s="18">
        <f t="shared" si="84"/>
        <v>105000</v>
      </c>
      <c r="G229" s="7">
        <v>120000</v>
      </c>
      <c r="H229" s="10">
        <v>15000</v>
      </c>
      <c r="I229" s="2">
        <f t="shared" si="85"/>
        <v>46149</v>
      </c>
      <c r="J229" s="1">
        <f t="shared" ca="1" si="86"/>
        <v>0</v>
      </c>
      <c r="K229" s="3" t="str">
        <f t="shared" ca="1" si="87"/>
        <v>PRÓXIMO</v>
      </c>
      <c r="L229" s="1">
        <f t="shared" si="88"/>
        <v>1</v>
      </c>
      <c r="M229" s="1">
        <f t="shared" si="89"/>
        <v>7</v>
      </c>
    </row>
    <row r="230" spans="1:13" x14ac:dyDescent="0.25">
      <c r="A230" s="1" t="s">
        <v>569</v>
      </c>
      <c r="B230" s="2">
        <v>46144</v>
      </c>
      <c r="C230" s="1"/>
      <c r="D230" s="1">
        <v>7</v>
      </c>
      <c r="E230" s="7">
        <v>26000</v>
      </c>
      <c r="F230" s="18">
        <f t="shared" si="84"/>
        <v>260000</v>
      </c>
      <c r="G230" s="7">
        <v>260000</v>
      </c>
      <c r="H230" s="10"/>
      <c r="I230" s="2">
        <f t="shared" si="85"/>
        <v>46144</v>
      </c>
      <c r="J230" s="1">
        <f t="shared" ca="1" si="86"/>
        <v>-5</v>
      </c>
      <c r="K230" s="3" t="str">
        <f t="shared" ca="1" si="87"/>
        <v>VENCIDO</v>
      </c>
      <c r="L230" s="1">
        <f t="shared" si="88"/>
        <v>0</v>
      </c>
      <c r="M230" s="1">
        <f t="shared" si="89"/>
        <v>10</v>
      </c>
    </row>
    <row r="231" spans="1:13" x14ac:dyDescent="0.25">
      <c r="A231" s="1" t="s">
        <v>570</v>
      </c>
      <c r="B231" s="2">
        <v>46144</v>
      </c>
      <c r="C231" s="1"/>
      <c r="D231" s="1">
        <v>15</v>
      </c>
      <c r="E231" s="7">
        <v>90000</v>
      </c>
      <c r="F231" s="18">
        <f t="shared" si="84"/>
        <v>810000</v>
      </c>
      <c r="G231" s="7">
        <v>900000</v>
      </c>
      <c r="H231" s="10">
        <v>90000</v>
      </c>
      <c r="I231" s="2">
        <f t="shared" si="85"/>
        <v>46159</v>
      </c>
      <c r="J231" s="1">
        <f t="shared" ca="1" si="86"/>
        <v>10</v>
      </c>
      <c r="K231" s="3" t="str">
        <f t="shared" ca="1" si="87"/>
        <v>VIGENTE</v>
      </c>
      <c r="L231" s="1">
        <f t="shared" si="88"/>
        <v>1</v>
      </c>
      <c r="M231" s="1">
        <f t="shared" si="89"/>
        <v>9</v>
      </c>
    </row>
    <row r="232" spans="1:13" x14ac:dyDescent="0.25">
      <c r="A232" s="1" t="s">
        <v>571</v>
      </c>
      <c r="B232" s="2">
        <v>46144</v>
      </c>
      <c r="C232" s="1"/>
      <c r="D232" s="1">
        <v>7</v>
      </c>
      <c r="E232" s="7">
        <v>38000</v>
      </c>
      <c r="F232" s="18">
        <f t="shared" si="84"/>
        <v>304000</v>
      </c>
      <c r="G232" s="7">
        <v>304000</v>
      </c>
      <c r="H232" s="10"/>
      <c r="I232" s="2">
        <f t="shared" si="85"/>
        <v>46144</v>
      </c>
      <c r="J232" s="1">
        <f t="shared" ca="1" si="86"/>
        <v>-5</v>
      </c>
      <c r="K232" s="3" t="str">
        <f t="shared" ca="1" si="87"/>
        <v>VENCIDO</v>
      </c>
      <c r="L232" s="1">
        <f t="shared" si="88"/>
        <v>0</v>
      </c>
      <c r="M232" s="1">
        <f t="shared" si="89"/>
        <v>8</v>
      </c>
    </row>
    <row r="233" spans="1:13" x14ac:dyDescent="0.25">
      <c r="A233" s="1" t="s">
        <v>574</v>
      </c>
      <c r="B233" s="2">
        <v>46146</v>
      </c>
      <c r="C233" s="1"/>
      <c r="D233" s="1">
        <v>7</v>
      </c>
      <c r="E233" s="7">
        <v>49000</v>
      </c>
      <c r="F233" s="18">
        <f t="shared" si="84"/>
        <v>1372000</v>
      </c>
      <c r="G233" s="7">
        <v>1470000</v>
      </c>
      <c r="H233" s="10">
        <v>98000</v>
      </c>
      <c r="I233" s="2">
        <f t="shared" si="85"/>
        <v>46160</v>
      </c>
      <c r="J233" s="1">
        <f t="shared" ca="1" si="86"/>
        <v>11</v>
      </c>
      <c r="K233" s="3" t="str">
        <f t="shared" ca="1" si="87"/>
        <v>VIGENTE</v>
      </c>
      <c r="L233" s="1">
        <f t="shared" si="88"/>
        <v>2</v>
      </c>
      <c r="M233" s="1">
        <f t="shared" si="89"/>
        <v>28</v>
      </c>
    </row>
    <row r="234" spans="1:13" x14ac:dyDescent="0.25">
      <c r="A234" s="1" t="s">
        <v>576</v>
      </c>
      <c r="B234" s="2">
        <v>46146</v>
      </c>
      <c r="C234" s="1"/>
      <c r="D234" s="1">
        <v>7</v>
      </c>
      <c r="E234" s="7">
        <v>15000</v>
      </c>
      <c r="F234" s="18">
        <f t="shared" si="84"/>
        <v>105000</v>
      </c>
      <c r="G234" s="7">
        <v>120000</v>
      </c>
      <c r="H234" s="10">
        <v>15000</v>
      </c>
      <c r="I234" s="2">
        <f t="shared" si="85"/>
        <v>46153</v>
      </c>
      <c r="J234" s="1">
        <f t="shared" ca="1" si="86"/>
        <v>4</v>
      </c>
      <c r="K234" s="3" t="str">
        <f t="shared" ca="1" si="87"/>
        <v>VIGENTE</v>
      </c>
      <c r="L234" s="1">
        <f t="shared" si="88"/>
        <v>1</v>
      </c>
      <c r="M234" s="1">
        <f t="shared" si="89"/>
        <v>7</v>
      </c>
    </row>
    <row r="235" spans="1:13" x14ac:dyDescent="0.25">
      <c r="A235" s="1" t="s">
        <v>578</v>
      </c>
      <c r="B235" s="2">
        <v>46146</v>
      </c>
      <c r="C235" s="1"/>
      <c r="D235" s="1">
        <v>7</v>
      </c>
      <c r="E235" s="7">
        <v>32000</v>
      </c>
      <c r="F235" s="18">
        <f t="shared" si="84"/>
        <v>320000</v>
      </c>
      <c r="G235" s="7">
        <v>320000</v>
      </c>
      <c r="H235" s="10"/>
      <c r="I235" s="2">
        <f t="shared" si="85"/>
        <v>46146</v>
      </c>
      <c r="J235" s="1">
        <f t="shared" ca="1" si="86"/>
        <v>-3</v>
      </c>
      <c r="K235" s="3" t="str">
        <f t="shared" ca="1" si="87"/>
        <v>VENCIDO</v>
      </c>
      <c r="L235" s="1">
        <f t="shared" si="88"/>
        <v>0</v>
      </c>
      <c r="M235" s="1">
        <f t="shared" si="89"/>
        <v>10</v>
      </c>
    </row>
    <row r="236" spans="1:13" x14ac:dyDescent="0.25">
      <c r="A236" s="1" t="s">
        <v>579</v>
      </c>
      <c r="B236" s="2">
        <v>46146</v>
      </c>
      <c r="C236" s="1"/>
      <c r="D236" s="1">
        <v>7</v>
      </c>
      <c r="E236" s="7">
        <v>28000</v>
      </c>
      <c r="F236" s="18">
        <f t="shared" si="84"/>
        <v>476000</v>
      </c>
      <c r="G236" s="7">
        <v>504000</v>
      </c>
      <c r="H236" s="10">
        <v>28000</v>
      </c>
      <c r="I236" s="2">
        <f t="shared" si="85"/>
        <v>46153</v>
      </c>
      <c r="J236" s="1">
        <f t="shared" ca="1" si="86"/>
        <v>4</v>
      </c>
      <c r="K236" s="3" t="str">
        <f t="shared" ca="1" si="87"/>
        <v>VIGENTE</v>
      </c>
      <c r="L236" s="1">
        <f t="shared" si="88"/>
        <v>1</v>
      </c>
      <c r="M236" s="1">
        <f t="shared" si="89"/>
        <v>17</v>
      </c>
    </row>
    <row r="237" spans="1:13" x14ac:dyDescent="0.25">
      <c r="A237" s="1" t="s">
        <v>581</v>
      </c>
      <c r="B237" s="2">
        <v>46146</v>
      </c>
      <c r="C237" s="1"/>
      <c r="D237" s="1">
        <v>7</v>
      </c>
      <c r="E237" s="7">
        <v>25000</v>
      </c>
      <c r="F237" s="18">
        <f t="shared" si="84"/>
        <v>325000</v>
      </c>
      <c r="G237" s="7">
        <v>325000</v>
      </c>
      <c r="H237" s="10"/>
      <c r="I237" s="2">
        <f t="shared" si="85"/>
        <v>46146</v>
      </c>
      <c r="J237" s="1">
        <f t="shared" ca="1" si="86"/>
        <v>-3</v>
      </c>
      <c r="K237" s="3" t="str">
        <f t="shared" ca="1" si="87"/>
        <v>VENCIDO</v>
      </c>
      <c r="L237" s="1">
        <f t="shared" si="88"/>
        <v>0</v>
      </c>
      <c r="M237" s="1">
        <f t="shared" si="89"/>
        <v>13</v>
      </c>
    </row>
    <row r="238" spans="1:13" x14ac:dyDescent="0.25">
      <c r="A238" s="1" t="s">
        <v>584</v>
      </c>
      <c r="B238" s="2">
        <v>46147</v>
      </c>
      <c r="C238" s="1"/>
      <c r="D238" s="1">
        <v>15</v>
      </c>
      <c r="E238" s="7">
        <v>60000</v>
      </c>
      <c r="F238" s="18">
        <f t="shared" si="84"/>
        <v>660000</v>
      </c>
      <c r="G238" s="7">
        <v>660000</v>
      </c>
      <c r="H238" s="10"/>
      <c r="I238" s="2">
        <f t="shared" si="85"/>
        <v>46147</v>
      </c>
      <c r="J238" s="1">
        <f t="shared" ca="1" si="86"/>
        <v>-2</v>
      </c>
      <c r="K238" s="3" t="str">
        <f t="shared" ca="1" si="87"/>
        <v>VENCIDO</v>
      </c>
      <c r="L238" s="1">
        <f t="shared" si="88"/>
        <v>0</v>
      </c>
      <c r="M238" s="1">
        <f t="shared" si="89"/>
        <v>11</v>
      </c>
    </row>
    <row r="239" spans="1:13" x14ac:dyDescent="0.25">
      <c r="A239" s="1" t="s">
        <v>570</v>
      </c>
      <c r="B239" s="2">
        <v>46147</v>
      </c>
      <c r="C239" s="1"/>
      <c r="D239" s="1">
        <v>15</v>
      </c>
      <c r="E239" s="7">
        <v>90000</v>
      </c>
      <c r="F239" s="18">
        <f t="shared" si="84"/>
        <v>900000</v>
      </c>
      <c r="G239" s="7">
        <v>900000</v>
      </c>
      <c r="H239" s="10"/>
      <c r="I239" s="2">
        <f t="shared" si="85"/>
        <v>46147</v>
      </c>
      <c r="J239" s="1">
        <f t="shared" ca="1" si="86"/>
        <v>-2</v>
      </c>
      <c r="K239" s="3" t="str">
        <f t="shared" ca="1" si="87"/>
        <v>VENCIDO</v>
      </c>
      <c r="L239" s="1">
        <f t="shared" si="88"/>
        <v>0</v>
      </c>
      <c r="M239" s="1">
        <f t="shared" si="89"/>
        <v>10</v>
      </c>
    </row>
    <row r="240" spans="1:13" x14ac:dyDescent="0.25">
      <c r="A240" s="1" t="s">
        <v>587</v>
      </c>
      <c r="B240" s="2">
        <v>46147</v>
      </c>
      <c r="C240" s="1" t="s">
        <v>13</v>
      </c>
      <c r="D240" s="1">
        <v>7</v>
      </c>
      <c r="E240" s="7">
        <v>95000</v>
      </c>
      <c r="F240" s="18">
        <f t="shared" si="84"/>
        <v>950000</v>
      </c>
      <c r="G240" s="7">
        <v>950000</v>
      </c>
      <c r="H240" s="10"/>
      <c r="I240" s="2">
        <f t="shared" si="85"/>
        <v>46154</v>
      </c>
      <c r="J240" s="1">
        <f t="shared" ca="1" si="86"/>
        <v>5</v>
      </c>
      <c r="K240" s="3" t="str">
        <f t="shared" ca="1" si="87"/>
        <v>VIGENTE</v>
      </c>
      <c r="L240" s="1">
        <f t="shared" si="88"/>
        <v>0</v>
      </c>
      <c r="M240" s="1">
        <f t="shared" si="89"/>
        <v>10</v>
      </c>
    </row>
    <row r="241" spans="1:13" x14ac:dyDescent="0.25">
      <c r="A241" s="1" t="s">
        <v>590</v>
      </c>
      <c r="B241" s="2">
        <v>46147</v>
      </c>
      <c r="C241" s="1"/>
      <c r="D241" s="1">
        <v>7</v>
      </c>
      <c r="E241" s="7">
        <v>37000</v>
      </c>
      <c r="F241" s="18">
        <f t="shared" si="84"/>
        <v>740000</v>
      </c>
      <c r="G241" s="7">
        <v>740000</v>
      </c>
      <c r="H241" s="10"/>
      <c r="I241" s="2">
        <f t="shared" si="85"/>
        <v>46147</v>
      </c>
      <c r="J241" s="1">
        <f t="shared" ca="1" si="86"/>
        <v>-2</v>
      </c>
      <c r="K241" s="3" t="str">
        <f t="shared" ca="1" si="87"/>
        <v>VENCIDO</v>
      </c>
      <c r="L241" s="1">
        <f t="shared" si="88"/>
        <v>0</v>
      </c>
      <c r="M241" s="1">
        <f t="shared" si="89"/>
        <v>20</v>
      </c>
    </row>
    <row r="242" spans="1:13" x14ac:dyDescent="0.25">
      <c r="A242" s="1" t="s">
        <v>592</v>
      </c>
      <c r="B242" s="2">
        <v>46147</v>
      </c>
      <c r="C242" s="1"/>
      <c r="D242" s="1">
        <v>7</v>
      </c>
      <c r="E242" s="7">
        <v>31000</v>
      </c>
      <c r="F242" s="18">
        <f t="shared" si="84"/>
        <v>930000</v>
      </c>
      <c r="G242" s="7">
        <v>930000</v>
      </c>
      <c r="H242" s="10"/>
      <c r="I242" s="2">
        <f t="shared" si="85"/>
        <v>46147</v>
      </c>
      <c r="J242" s="1">
        <f t="shared" ca="1" si="86"/>
        <v>-2</v>
      </c>
      <c r="K242" s="3" t="str">
        <f t="shared" ca="1" si="87"/>
        <v>VENCIDO</v>
      </c>
      <c r="L242" s="1">
        <f t="shared" si="88"/>
        <v>0</v>
      </c>
      <c r="M242" s="1">
        <f t="shared" si="89"/>
        <v>30</v>
      </c>
    </row>
    <row r="243" spans="1:13" x14ac:dyDescent="0.25">
      <c r="A243" s="1" t="s">
        <v>593</v>
      </c>
      <c r="B243" s="2">
        <v>46148</v>
      </c>
      <c r="C243" s="1" t="s">
        <v>13</v>
      </c>
      <c r="D243" s="1">
        <v>7</v>
      </c>
      <c r="E243" s="7">
        <v>38000</v>
      </c>
      <c r="F243" s="18">
        <f t="shared" si="84"/>
        <v>380000</v>
      </c>
      <c r="G243" s="7">
        <v>380000</v>
      </c>
      <c r="H243" s="10"/>
      <c r="I243" s="2">
        <f t="shared" si="85"/>
        <v>46155</v>
      </c>
      <c r="J243" s="1">
        <f t="shared" ca="1" si="86"/>
        <v>6</v>
      </c>
      <c r="K243" s="3" t="str">
        <f t="shared" ca="1" si="87"/>
        <v>VIGENTE</v>
      </c>
      <c r="L243" s="1">
        <f t="shared" si="88"/>
        <v>0</v>
      </c>
      <c r="M243" s="1">
        <f t="shared" si="89"/>
        <v>10</v>
      </c>
    </row>
    <row r="244" spans="1:13" x14ac:dyDescent="0.25">
      <c r="A244" s="1" t="s">
        <v>595</v>
      </c>
      <c r="B244" s="2">
        <v>46148</v>
      </c>
      <c r="C244" s="1"/>
      <c r="D244" s="1">
        <v>7</v>
      </c>
      <c r="E244" s="7">
        <v>54000</v>
      </c>
      <c r="F244" s="18">
        <f t="shared" si="84"/>
        <v>864000</v>
      </c>
      <c r="G244" s="7">
        <v>864000</v>
      </c>
      <c r="H244" s="10"/>
      <c r="I244" s="2">
        <f t="shared" si="85"/>
        <v>46148</v>
      </c>
      <c r="J244" s="1">
        <f t="shared" ca="1" si="86"/>
        <v>-1</v>
      </c>
      <c r="K244" s="3" t="str">
        <f t="shared" ca="1" si="87"/>
        <v>VENCIDO</v>
      </c>
      <c r="L244" s="1">
        <f t="shared" si="88"/>
        <v>0</v>
      </c>
      <c r="M244" s="1">
        <f t="shared" si="89"/>
        <v>16</v>
      </c>
    </row>
    <row r="245" spans="1:13" x14ac:dyDescent="0.25">
      <c r="A245" s="1" t="s">
        <v>597</v>
      </c>
      <c r="B245" s="2">
        <v>46148</v>
      </c>
      <c r="C245" s="1"/>
      <c r="D245" s="1">
        <v>7</v>
      </c>
      <c r="E245" s="7">
        <v>35000</v>
      </c>
      <c r="F245" s="18">
        <f t="shared" si="84"/>
        <v>945000</v>
      </c>
      <c r="G245" s="7">
        <v>945000</v>
      </c>
      <c r="H245" s="10"/>
      <c r="I245" s="2">
        <f t="shared" si="85"/>
        <v>46148</v>
      </c>
      <c r="J245" s="1">
        <f t="shared" ca="1" si="86"/>
        <v>-1</v>
      </c>
      <c r="K245" s="3" t="str">
        <f t="shared" ca="1" si="87"/>
        <v>VENCIDO</v>
      </c>
      <c r="L245" s="1">
        <f t="shared" si="88"/>
        <v>0</v>
      </c>
      <c r="M245" s="1">
        <f t="shared" si="89"/>
        <v>27</v>
      </c>
    </row>
    <row r="246" spans="1:13" x14ac:dyDescent="0.25">
      <c r="A246" s="1"/>
      <c r="B246" s="2"/>
      <c r="C246" s="1"/>
      <c r="D246" s="1"/>
      <c r="E246" s="7"/>
      <c r="F246" s="18">
        <f t="shared" si="84"/>
        <v>0</v>
      </c>
      <c r="G246" s="7"/>
      <c r="H246" s="10"/>
      <c r="I246" s="2" t="str">
        <f t="shared" si="85"/>
        <v/>
      </c>
      <c r="J246" s="1" t="str">
        <f t="shared" ca="1" si="86"/>
        <v/>
      </c>
      <c r="K246" s="3" t="str">
        <f t="shared" ca="1" si="87"/>
        <v/>
      </c>
      <c r="L246" s="1">
        <f t="shared" si="88"/>
        <v>0</v>
      </c>
      <c r="M246" s="1">
        <f t="shared" si="89"/>
        <v>0</v>
      </c>
    </row>
    <row r="247" spans="1:13" x14ac:dyDescent="0.25">
      <c r="A247" s="1"/>
      <c r="B247" s="2"/>
      <c r="C247" s="1"/>
      <c r="D247" s="1"/>
      <c r="E247" s="7"/>
      <c r="F247" s="18">
        <f t="shared" ref="F247:F269" si="90">G247-H247</f>
        <v>0</v>
      </c>
      <c r="G247" s="7"/>
      <c r="H247" s="10"/>
      <c r="I247" s="2" t="str">
        <f t="shared" ref="I247:I269" si="91">IF(F247=0,"",IF(C247="CRED",B247+(INT((G247-F247)/E247)+1)*D247,B247+INT((G247-F247)/E247)*D247))</f>
        <v/>
      </c>
      <c r="J247" s="1" t="str">
        <f t="shared" ref="J247:J269" ca="1" si="92">IF(I247="","",I247-TODAY())</f>
        <v/>
      </c>
      <c r="K247" s="3" t="str">
        <f t="shared" ref="K247:K269" ca="1" si="93">IF(J247="","",IF(J247&lt;0,"VENCIDO",IF(J247&lt;=1,"PRÓXIMO","VIGENTE")))</f>
        <v/>
      </c>
      <c r="L247" s="1">
        <f t="shared" ref="L247:L269" si="94">IF(F247=G247,0,INT((G247-F247)/E247))</f>
        <v>0</v>
      </c>
      <c r="M247" s="1">
        <f t="shared" ref="M247:M269" si="95">IF(F247=0,0,INT(F247/E247)+(IF(MOD(F247,E247)&gt;0,1,0)))</f>
        <v>0</v>
      </c>
    </row>
    <row r="248" spans="1:13" x14ac:dyDescent="0.25">
      <c r="A248" s="1"/>
      <c r="B248" s="2"/>
      <c r="C248" s="1"/>
      <c r="D248" s="1"/>
      <c r="E248" s="7"/>
      <c r="F248" s="18">
        <f t="shared" si="90"/>
        <v>0</v>
      </c>
      <c r="G248" s="7"/>
      <c r="H248" s="10"/>
      <c r="I248" s="2" t="str">
        <f t="shared" si="91"/>
        <v/>
      </c>
      <c r="J248" s="1" t="str">
        <f t="shared" ca="1" si="92"/>
        <v/>
      </c>
      <c r="K248" s="3" t="str">
        <f t="shared" ca="1" si="93"/>
        <v/>
      </c>
      <c r="L248" s="1">
        <f t="shared" si="94"/>
        <v>0</v>
      </c>
      <c r="M248" s="1">
        <f t="shared" si="95"/>
        <v>0</v>
      </c>
    </row>
    <row r="249" spans="1:13" x14ac:dyDescent="0.25">
      <c r="A249" s="1"/>
      <c r="B249" s="2"/>
      <c r="C249" s="1"/>
      <c r="D249" s="1"/>
      <c r="E249" s="7"/>
      <c r="F249" s="18">
        <f t="shared" si="90"/>
        <v>0</v>
      </c>
      <c r="G249" s="7"/>
      <c r="H249" s="10"/>
      <c r="I249" s="2" t="str">
        <f t="shared" si="91"/>
        <v/>
      </c>
      <c r="J249" s="1" t="str">
        <f t="shared" ca="1" si="92"/>
        <v/>
      </c>
      <c r="K249" s="3" t="str">
        <f t="shared" ca="1" si="93"/>
        <v/>
      </c>
      <c r="L249" s="1">
        <f t="shared" si="94"/>
        <v>0</v>
      </c>
      <c r="M249" s="1">
        <f t="shared" si="95"/>
        <v>0</v>
      </c>
    </row>
    <row r="250" spans="1:13" x14ac:dyDescent="0.25">
      <c r="A250" s="1"/>
      <c r="B250" s="2"/>
      <c r="C250" s="1"/>
      <c r="D250" s="1"/>
      <c r="E250" s="7"/>
      <c r="F250" s="18">
        <f t="shared" si="90"/>
        <v>0</v>
      </c>
      <c r="G250" s="7"/>
      <c r="H250" s="10"/>
      <c r="I250" s="2" t="str">
        <f t="shared" si="91"/>
        <v/>
      </c>
      <c r="J250" s="1" t="str">
        <f t="shared" ca="1" si="92"/>
        <v/>
      </c>
      <c r="K250" s="3" t="str">
        <f t="shared" ca="1" si="93"/>
        <v/>
      </c>
      <c r="L250" s="1">
        <f t="shared" si="94"/>
        <v>0</v>
      </c>
      <c r="M250" s="1">
        <f t="shared" si="95"/>
        <v>0</v>
      </c>
    </row>
    <row r="251" spans="1:13" x14ac:dyDescent="0.25">
      <c r="A251" s="1"/>
      <c r="B251" s="2"/>
      <c r="C251" s="1"/>
      <c r="D251" s="1"/>
      <c r="E251" s="7"/>
      <c r="F251" s="18">
        <f t="shared" si="90"/>
        <v>0</v>
      </c>
      <c r="G251" s="7"/>
      <c r="H251" s="10"/>
      <c r="I251" s="2" t="str">
        <f t="shared" si="91"/>
        <v/>
      </c>
      <c r="J251" s="1" t="str">
        <f t="shared" ca="1" si="92"/>
        <v/>
      </c>
      <c r="K251" s="3" t="str">
        <f t="shared" ca="1" si="93"/>
        <v/>
      </c>
      <c r="L251" s="1">
        <f t="shared" si="94"/>
        <v>0</v>
      </c>
      <c r="M251" s="1">
        <f t="shared" si="95"/>
        <v>0</v>
      </c>
    </row>
    <row r="252" spans="1:13" x14ac:dyDescent="0.25">
      <c r="A252" s="1"/>
      <c r="B252" s="2"/>
      <c r="C252" s="1"/>
      <c r="D252" s="1"/>
      <c r="E252" s="7"/>
      <c r="F252" s="18">
        <f t="shared" si="90"/>
        <v>0</v>
      </c>
      <c r="G252" s="7"/>
      <c r="H252" s="10"/>
      <c r="I252" s="2" t="str">
        <f t="shared" si="91"/>
        <v/>
      </c>
      <c r="J252" s="1" t="str">
        <f t="shared" ca="1" si="92"/>
        <v/>
      </c>
      <c r="K252" s="3" t="str">
        <f t="shared" ca="1" si="93"/>
        <v/>
      </c>
      <c r="L252" s="1">
        <f t="shared" si="94"/>
        <v>0</v>
      </c>
      <c r="M252" s="1">
        <f t="shared" si="95"/>
        <v>0</v>
      </c>
    </row>
    <row r="253" spans="1:13" x14ac:dyDescent="0.25">
      <c r="A253" s="1"/>
      <c r="B253" s="2"/>
      <c r="C253" s="1"/>
      <c r="D253" s="1"/>
      <c r="E253" s="7"/>
      <c r="F253" s="18">
        <f t="shared" si="90"/>
        <v>0</v>
      </c>
      <c r="G253" s="7"/>
      <c r="H253" s="10"/>
      <c r="I253" s="2" t="str">
        <f t="shared" si="91"/>
        <v/>
      </c>
      <c r="J253" s="1" t="str">
        <f t="shared" ca="1" si="92"/>
        <v/>
      </c>
      <c r="K253" s="3" t="str">
        <f t="shared" ca="1" si="93"/>
        <v/>
      </c>
      <c r="L253" s="1">
        <f t="shared" si="94"/>
        <v>0</v>
      </c>
      <c r="M253" s="1">
        <f t="shared" si="95"/>
        <v>0</v>
      </c>
    </row>
    <row r="254" spans="1:13" x14ac:dyDescent="0.25">
      <c r="A254" s="1"/>
      <c r="B254" s="2"/>
      <c r="C254" s="1"/>
      <c r="D254" s="1"/>
      <c r="E254" s="7"/>
      <c r="F254" s="18">
        <f t="shared" si="90"/>
        <v>0</v>
      </c>
      <c r="G254" s="7"/>
      <c r="H254" s="10"/>
      <c r="I254" s="2" t="str">
        <f t="shared" si="91"/>
        <v/>
      </c>
      <c r="J254" s="1" t="str">
        <f t="shared" ca="1" si="92"/>
        <v/>
      </c>
      <c r="K254" s="3" t="str">
        <f t="shared" ca="1" si="93"/>
        <v/>
      </c>
      <c r="L254" s="1">
        <f t="shared" si="94"/>
        <v>0</v>
      </c>
      <c r="M254" s="1">
        <f t="shared" si="95"/>
        <v>0</v>
      </c>
    </row>
    <row r="255" spans="1:13" x14ac:dyDescent="0.25">
      <c r="A255" s="1"/>
      <c r="B255" s="2"/>
      <c r="C255" s="1"/>
      <c r="D255" s="1"/>
      <c r="E255" s="7"/>
      <c r="F255" s="18">
        <f t="shared" si="90"/>
        <v>0</v>
      </c>
      <c r="G255" s="7"/>
      <c r="H255" s="10"/>
      <c r="I255" s="2" t="str">
        <f t="shared" si="91"/>
        <v/>
      </c>
      <c r="J255" s="1" t="str">
        <f t="shared" ca="1" si="92"/>
        <v/>
      </c>
      <c r="K255" s="3" t="str">
        <f t="shared" ca="1" si="93"/>
        <v/>
      </c>
      <c r="L255" s="1">
        <f t="shared" si="94"/>
        <v>0</v>
      </c>
      <c r="M255" s="1">
        <f t="shared" si="95"/>
        <v>0</v>
      </c>
    </row>
    <row r="256" spans="1:13" x14ac:dyDescent="0.25">
      <c r="A256" s="1"/>
      <c r="B256" s="2"/>
      <c r="C256" s="1"/>
      <c r="D256" s="1"/>
      <c r="E256" s="7"/>
      <c r="F256" s="18">
        <f t="shared" si="90"/>
        <v>0</v>
      </c>
      <c r="G256" s="7"/>
      <c r="H256" s="10"/>
      <c r="I256" s="2" t="str">
        <f t="shared" si="91"/>
        <v/>
      </c>
      <c r="J256" s="1" t="str">
        <f t="shared" ca="1" si="92"/>
        <v/>
      </c>
      <c r="K256" s="3" t="str">
        <f t="shared" ca="1" si="93"/>
        <v/>
      </c>
      <c r="L256" s="1">
        <f t="shared" si="94"/>
        <v>0</v>
      </c>
      <c r="M256" s="1">
        <f t="shared" si="95"/>
        <v>0</v>
      </c>
    </row>
    <row r="257" spans="1:13" x14ac:dyDescent="0.25">
      <c r="A257" s="1"/>
      <c r="B257" s="2"/>
      <c r="C257" s="1"/>
      <c r="D257" s="1"/>
      <c r="E257" s="7"/>
      <c r="F257" s="18">
        <f t="shared" si="90"/>
        <v>0</v>
      </c>
      <c r="G257" s="7"/>
      <c r="H257" s="10"/>
      <c r="I257" s="2" t="str">
        <f t="shared" si="91"/>
        <v/>
      </c>
      <c r="J257" s="1" t="str">
        <f t="shared" ca="1" si="92"/>
        <v/>
      </c>
      <c r="K257" s="3" t="str">
        <f t="shared" ca="1" si="93"/>
        <v/>
      </c>
      <c r="L257" s="1">
        <f t="shared" si="94"/>
        <v>0</v>
      </c>
      <c r="M257" s="1">
        <f t="shared" si="95"/>
        <v>0</v>
      </c>
    </row>
    <row r="258" spans="1:13" x14ac:dyDescent="0.25">
      <c r="A258" s="1"/>
      <c r="B258" s="2"/>
      <c r="C258" s="1"/>
      <c r="D258" s="1"/>
      <c r="E258" s="7"/>
      <c r="F258" s="18">
        <f t="shared" si="90"/>
        <v>0</v>
      </c>
      <c r="G258" s="7"/>
      <c r="H258" s="10"/>
      <c r="I258" s="2" t="str">
        <f t="shared" si="91"/>
        <v/>
      </c>
      <c r="J258" s="1" t="str">
        <f t="shared" ca="1" si="92"/>
        <v/>
      </c>
      <c r="K258" s="3" t="str">
        <f t="shared" ca="1" si="93"/>
        <v/>
      </c>
      <c r="L258" s="1">
        <f t="shared" si="94"/>
        <v>0</v>
      </c>
      <c r="M258" s="1">
        <f t="shared" si="95"/>
        <v>0</v>
      </c>
    </row>
    <row r="259" spans="1:13" x14ac:dyDescent="0.25">
      <c r="A259" s="1"/>
      <c r="B259" s="2"/>
      <c r="C259" s="1"/>
      <c r="D259" s="1"/>
      <c r="E259" s="7"/>
      <c r="F259" s="18">
        <f t="shared" si="90"/>
        <v>0</v>
      </c>
      <c r="G259" s="7"/>
      <c r="H259" s="10"/>
      <c r="I259" s="2" t="str">
        <f t="shared" si="91"/>
        <v/>
      </c>
      <c r="J259" s="1" t="str">
        <f t="shared" ca="1" si="92"/>
        <v/>
      </c>
      <c r="K259" s="3" t="str">
        <f t="shared" ca="1" si="93"/>
        <v/>
      </c>
      <c r="L259" s="1">
        <f t="shared" si="94"/>
        <v>0</v>
      </c>
      <c r="M259" s="1">
        <f t="shared" si="95"/>
        <v>0</v>
      </c>
    </row>
    <row r="260" spans="1:13" x14ac:dyDescent="0.25">
      <c r="A260" s="1"/>
      <c r="B260" s="2"/>
      <c r="C260" s="1"/>
      <c r="D260" s="1"/>
      <c r="E260" s="7"/>
      <c r="F260" s="18">
        <f t="shared" si="90"/>
        <v>0</v>
      </c>
      <c r="G260" s="7"/>
      <c r="H260" s="10"/>
      <c r="I260" s="2" t="str">
        <f t="shared" si="91"/>
        <v/>
      </c>
      <c r="J260" s="1" t="str">
        <f t="shared" ca="1" si="92"/>
        <v/>
      </c>
      <c r="K260" s="3" t="str">
        <f t="shared" ca="1" si="93"/>
        <v/>
      </c>
      <c r="L260" s="1">
        <f t="shared" si="94"/>
        <v>0</v>
      </c>
      <c r="M260" s="1">
        <f t="shared" si="95"/>
        <v>0</v>
      </c>
    </row>
    <row r="261" spans="1:13" x14ac:dyDescent="0.25">
      <c r="A261" s="1"/>
      <c r="B261" s="2"/>
      <c r="C261" s="1"/>
      <c r="D261" s="1"/>
      <c r="E261" s="7"/>
      <c r="F261" s="18">
        <f t="shared" si="90"/>
        <v>0</v>
      </c>
      <c r="G261" s="7"/>
      <c r="H261" s="10"/>
      <c r="I261" s="2" t="str">
        <f t="shared" si="91"/>
        <v/>
      </c>
      <c r="J261" s="1" t="str">
        <f t="shared" ca="1" si="92"/>
        <v/>
      </c>
      <c r="K261" s="3" t="str">
        <f t="shared" ca="1" si="93"/>
        <v/>
      </c>
      <c r="L261" s="1">
        <f t="shared" si="94"/>
        <v>0</v>
      </c>
      <c r="M261" s="1">
        <f t="shared" si="95"/>
        <v>0</v>
      </c>
    </row>
    <row r="262" spans="1:13" x14ac:dyDescent="0.25">
      <c r="A262" s="1"/>
      <c r="B262" s="2"/>
      <c r="C262" s="1"/>
      <c r="D262" s="1"/>
      <c r="E262" s="7"/>
      <c r="F262" s="18">
        <f t="shared" si="90"/>
        <v>0</v>
      </c>
      <c r="G262" s="7"/>
      <c r="H262" s="10"/>
      <c r="I262" s="2" t="str">
        <f t="shared" si="91"/>
        <v/>
      </c>
      <c r="J262" s="1" t="str">
        <f t="shared" ca="1" si="92"/>
        <v/>
      </c>
      <c r="K262" s="3" t="str">
        <f t="shared" ca="1" si="93"/>
        <v/>
      </c>
      <c r="L262" s="1">
        <f t="shared" si="94"/>
        <v>0</v>
      </c>
      <c r="M262" s="1">
        <f t="shared" si="95"/>
        <v>0</v>
      </c>
    </row>
    <row r="263" spans="1:13" x14ac:dyDescent="0.25">
      <c r="A263" s="1"/>
      <c r="B263" s="2"/>
      <c r="C263" s="1"/>
      <c r="D263" s="1"/>
      <c r="E263" s="7"/>
      <c r="F263" s="18">
        <f t="shared" si="90"/>
        <v>0</v>
      </c>
      <c r="G263" s="7"/>
      <c r="H263" s="10"/>
      <c r="I263" s="2" t="str">
        <f t="shared" si="91"/>
        <v/>
      </c>
      <c r="J263" s="1" t="str">
        <f t="shared" ca="1" si="92"/>
        <v/>
      </c>
      <c r="K263" s="3" t="str">
        <f t="shared" ca="1" si="93"/>
        <v/>
      </c>
      <c r="L263" s="1">
        <f t="shared" si="94"/>
        <v>0</v>
      </c>
      <c r="M263" s="1">
        <f t="shared" si="95"/>
        <v>0</v>
      </c>
    </row>
    <row r="264" spans="1:13" x14ac:dyDescent="0.25">
      <c r="A264" s="1"/>
      <c r="B264" s="2"/>
      <c r="C264" s="1"/>
      <c r="D264" s="1"/>
      <c r="E264" s="7"/>
      <c r="F264" s="18">
        <f t="shared" si="90"/>
        <v>0</v>
      </c>
      <c r="G264" s="7"/>
      <c r="H264" s="10"/>
      <c r="I264" s="2" t="str">
        <f t="shared" si="91"/>
        <v/>
      </c>
      <c r="J264" s="1" t="str">
        <f t="shared" ca="1" si="92"/>
        <v/>
      </c>
      <c r="K264" s="3" t="str">
        <f t="shared" ca="1" si="93"/>
        <v/>
      </c>
      <c r="L264" s="1">
        <f t="shared" si="94"/>
        <v>0</v>
      </c>
      <c r="M264" s="1">
        <f t="shared" si="95"/>
        <v>0</v>
      </c>
    </row>
    <row r="265" spans="1:13" x14ac:dyDescent="0.25">
      <c r="A265" s="1"/>
      <c r="B265" s="2"/>
      <c r="C265" s="1"/>
      <c r="D265" s="1"/>
      <c r="E265" s="7"/>
      <c r="F265" s="18">
        <f t="shared" si="90"/>
        <v>0</v>
      </c>
      <c r="G265" s="7"/>
      <c r="H265" s="10"/>
      <c r="I265" s="2" t="str">
        <f t="shared" si="91"/>
        <v/>
      </c>
      <c r="J265" s="1" t="str">
        <f t="shared" ca="1" si="92"/>
        <v/>
      </c>
      <c r="K265" s="3" t="str">
        <f t="shared" ca="1" si="93"/>
        <v/>
      </c>
      <c r="L265" s="1">
        <f t="shared" si="94"/>
        <v>0</v>
      </c>
      <c r="M265" s="1">
        <f t="shared" si="95"/>
        <v>0</v>
      </c>
    </row>
    <row r="266" spans="1:13" x14ac:dyDescent="0.25">
      <c r="A266" s="1"/>
      <c r="B266" s="2"/>
      <c r="C266" s="1"/>
      <c r="D266" s="1"/>
      <c r="E266" s="7"/>
      <c r="F266" s="18">
        <f t="shared" si="90"/>
        <v>0</v>
      </c>
      <c r="G266" s="7"/>
      <c r="H266" s="10"/>
      <c r="I266" s="2" t="str">
        <f t="shared" si="91"/>
        <v/>
      </c>
      <c r="J266" s="1" t="str">
        <f t="shared" ca="1" si="92"/>
        <v/>
      </c>
      <c r="K266" s="3" t="str">
        <f t="shared" ca="1" si="93"/>
        <v/>
      </c>
      <c r="L266" s="1">
        <f t="shared" si="94"/>
        <v>0</v>
      </c>
      <c r="M266" s="1">
        <f t="shared" si="95"/>
        <v>0</v>
      </c>
    </row>
    <row r="267" spans="1:13" x14ac:dyDescent="0.25">
      <c r="A267" s="1"/>
      <c r="B267" s="2"/>
      <c r="C267" s="1"/>
      <c r="D267" s="1"/>
      <c r="E267" s="7"/>
      <c r="F267" s="18">
        <f t="shared" si="90"/>
        <v>0</v>
      </c>
      <c r="G267" s="7"/>
      <c r="H267" s="10"/>
      <c r="I267" s="2" t="str">
        <f t="shared" si="91"/>
        <v/>
      </c>
      <c r="J267" s="1" t="str">
        <f t="shared" ca="1" si="92"/>
        <v/>
      </c>
      <c r="K267" s="3" t="str">
        <f t="shared" ca="1" si="93"/>
        <v/>
      </c>
      <c r="L267" s="1">
        <f t="shared" si="94"/>
        <v>0</v>
      </c>
      <c r="M267" s="1">
        <f t="shared" si="95"/>
        <v>0</v>
      </c>
    </row>
    <row r="268" spans="1:13" x14ac:dyDescent="0.25">
      <c r="A268" s="1"/>
      <c r="B268" s="2"/>
      <c r="C268" s="1"/>
      <c r="D268" s="1"/>
      <c r="E268" s="7"/>
      <c r="F268" s="18">
        <f t="shared" si="90"/>
        <v>0</v>
      </c>
      <c r="G268" s="7"/>
      <c r="H268" s="10"/>
      <c r="I268" s="2" t="str">
        <f t="shared" si="91"/>
        <v/>
      </c>
      <c r="J268" s="1" t="str">
        <f t="shared" ca="1" si="92"/>
        <v/>
      </c>
      <c r="K268" s="3" t="str">
        <f t="shared" ca="1" si="93"/>
        <v/>
      </c>
      <c r="L268" s="1">
        <f t="shared" si="94"/>
        <v>0</v>
      </c>
      <c r="M268" s="1">
        <f t="shared" si="95"/>
        <v>0</v>
      </c>
    </row>
    <row r="269" spans="1:13" x14ac:dyDescent="0.25">
      <c r="A269" s="1"/>
      <c r="B269" s="2"/>
      <c r="C269" s="1"/>
      <c r="D269" s="1"/>
      <c r="E269" s="7"/>
      <c r="F269" s="18">
        <f t="shared" si="90"/>
        <v>0</v>
      </c>
      <c r="G269" s="7"/>
      <c r="H269" s="10"/>
      <c r="I269" s="2" t="str">
        <f t="shared" si="91"/>
        <v/>
      </c>
      <c r="J269" s="1" t="str">
        <f t="shared" ca="1" si="92"/>
        <v/>
      </c>
      <c r="K269" s="3" t="str">
        <f t="shared" ca="1" si="93"/>
        <v/>
      </c>
      <c r="L269" s="1">
        <f t="shared" si="94"/>
        <v>0</v>
      </c>
      <c r="M269" s="1">
        <f t="shared" si="95"/>
        <v>0</v>
      </c>
    </row>
  </sheetData>
  <conditionalFormatting sqref="K2:K269">
    <cfRule type="expression" dxfId="2" priority="1">
      <formula>$K2="VIGENTE"</formula>
    </cfRule>
    <cfRule type="expression" dxfId="1" priority="2">
      <formula>$K2="PRÓXIMO"</formula>
    </cfRule>
    <cfRule type="expression" dxfId="0" priority="3">
      <formula>$K2="VENCIDO"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nico</vt:lpstr>
      <vt:lpstr>clientes violeta</vt:lpstr>
      <vt:lpstr>clientes paola</vt:lpstr>
      <vt:lpstr>clientes gustavo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Iván De Luca Kanina</dc:creator>
  <cp:keywords/>
  <dc:description/>
  <cp:lastModifiedBy>De Luca Kanina, Ivan</cp:lastModifiedBy>
  <cp:revision/>
  <cp:lastPrinted>2026-04-02T12:38:07Z</cp:lastPrinted>
  <dcterms:created xsi:type="dcterms:W3CDTF">2025-08-04T12:56:03Z</dcterms:created>
  <dcterms:modified xsi:type="dcterms:W3CDTF">2026-05-07T04:34:45Z</dcterms:modified>
  <cp:category/>
  <cp:contentStatus/>
</cp:coreProperties>
</file>